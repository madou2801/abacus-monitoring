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as identifiés" sheetId="2" state="visible" r:id="rId4"/>
    <sheet name="Grille Mali" sheetId="3" state="visible" r:id="rId5"/>
    <sheet name="Codes NAF" sheetId="4" state="visible" r:id="rId6"/>
    <sheet name="Modèle de saisie" sheetId="5" state="visible" r:id="rId7"/>
  </sheets>
  <definedNames>
    <definedName function="false" hidden="true" localSheetId="1" name="_xlnm._FilterDatabase" vbProcedure="false">'Cas identifiés'!$A$1:$V$12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C1 — Intensité main-d'oeuvre
Note de 1 à 5 (5 = le plus favorable).</t>
        </r>
      </text>
    </comment>
    <comment ref="N1" authorId="0">
      <text>
        <r>
          <rPr>
            <sz val="10"/>
            <rFont val="Arial"/>
            <family val="2"/>
          </rPr>
          <t xml:space="preserve">C2 — Sobriété énergétique
Note de 1 à 5 (5 = le plus favorable).</t>
        </r>
      </text>
    </comment>
    <comment ref="O1" authorId="0">
      <text>
        <r>
          <rPr>
            <sz val="10"/>
            <rFont val="Arial"/>
            <family val="2"/>
          </rPr>
          <t xml:space="preserve">C3 — Simplicité technologique
Note de 1 à 5 (5 = le plus favorable).</t>
        </r>
      </text>
    </comment>
    <comment ref="P1" authorId="0">
      <text>
        <r>
          <rPr>
            <sz val="10"/>
            <rFont val="Arial"/>
            <family val="2"/>
          </rPr>
          <t xml:space="preserve">C4 — Transportabilité des actifs
Note de 1 à 5 (5 = le plus favorable).</t>
        </r>
      </text>
    </comment>
    <comment ref="Q1" authorId="0">
      <text>
        <r>
          <rPr>
            <sz val="10"/>
            <rFont val="Arial"/>
            <family val="2"/>
          </rPr>
          <t xml:space="preserve">C5 — Marché Mali / AES / UEMOA
Note de 1 à 5 (5 = le plus favorable).</t>
        </r>
      </text>
    </comment>
    <comment ref="R1" authorId="0">
      <text>
        <r>
          <rPr>
            <sz val="10"/>
            <rFont val="Arial"/>
            <family val="2"/>
          </rPr>
          <t xml:space="preserve">C6 — Faiblesse des barrières réglementaires
Note de 1 à 5 (5 = le plus favorable).</t>
        </r>
      </text>
    </comment>
    <comment ref="S1" authorId="0">
      <text>
        <r>
          <rPr>
            <sz val="10"/>
            <rFont val="Arial"/>
            <family val="2"/>
          </rPr>
          <t xml:space="preserve">C7 — Autonomie en intrants
Note de 1 à 5 (5 = le plus favorable).</t>
        </r>
      </text>
    </comment>
  </commentList>
</comments>
</file>

<file path=xl/sharedStrings.xml><?xml version="1.0" encoding="utf-8"?>
<sst xmlns="http://schemas.openxmlformats.org/spreadsheetml/2006/main" count="361" uniqueCount="263">
  <si>
    <t xml:space="preserve">Veille procédures collectives — transférabilité vers le Mali</t>
  </si>
  <si>
    <t xml:space="preserve">ABACUS RH · généré le</t>
  </si>
  <si>
    <t xml:space="preserve">PÉRIMÈTRE DEMANDÉ</t>
  </si>
  <si>
    <t xml:space="preserve">Entreprises françaises sous procédure collective (sauvegarde, redressement, liquidation) dans cinq secteurs : transport &amp; logistique ; fabrication de matériel électrique ; fabrication de machines-outils ; transformation plastique ; fabrication de médicaments génériques. Objectif : identifier celles dont l'activité ou les actifs pourraient être transférés au Mali.</t>
  </si>
  <si>
    <t xml:space="preserve">CE QUE CONTIENT CE FICHIER</t>
  </si>
  <si>
    <t xml:space="preserve">Un échantillon de 11 dossiers réellement sourcés, chacun accompagné de son lien de presse ou de base publique, noté sur la grille de transférabilité. Plus le référentiel complet (37 codes NAF, 7 critères pondérés) et un modèle de saisie pour l'alimenter.</t>
  </si>
  <si>
    <t xml:space="preserve">CE QU'IL NE CONTIENT PAS</t>
  </si>
  <si>
    <t xml:space="preserve">La liste exhaustive. Elle est impossible à produire depuis cet environnement : le proxy réseau bloque le BODACC, l'INPI, l'API recherche-entreprises et Gaïa (gaia.abacus-rh.com). Seule la recherche web généraliste répond, et elle remonte des articles de presse, pas un extrait de registre. L'ordre de grandeur réel : le seul secteur transport compte 857 défaillances au T1 2026 (+12,9 %) et plus de 1 900 dossiers actifs fin mars 2026 — l'échantillon ci-contre en couvre une fraction infime.</t>
  </si>
  <si>
    <t xml:space="preserve">COMMENT OBTENIR L'EXHAUSTIF</t>
  </si>
  <si>
    <t xml:space="preserve">Le script collecte_bodacc.py, livré à côté de ce fichier, interroge l'API BODACC Open Data, filtre sur les 37 codes NAF et régénère ce classeur complet. Il est prêt à tourner : il suffit de l'exécuter depuis le VPS ABACUS ou toute machine dont le réseau n'est pas restreint, ou d'ajouter les domaines à l'allowlist de l'environnement Claude Code.</t>
  </si>
  <si>
    <t xml:space="preserve">FIABILITÉ DES DONNÉES</t>
  </si>
  <si>
    <t xml:space="preserve">Chaque ligne porte une colonne « Fiabilité source ». Un seul dossier (Mécanique Gaillonnaise de Précision) dispose d'un SIREN et d'une date de jugement confirmés ; les autres reposent sur la presse, avec des effectifs et des dates parfois approximatifs. « n.d. » signifie non disponible et n'a jamais été comblé par une estimation. Aucune donnée de ce fichier n'est inventée : vérifiez chaque dossier au registre avant toute offre de reprise.</t>
  </si>
  <si>
    <t xml:space="preserve">EXCLUSIONS ASSUMÉES</t>
  </si>
  <si>
    <t xml:space="preserve">Duralex (redressement judiciaire du 01/06/2026, 243 salariés, Orléans) revient dans toutes les recherches mais relève de la verrerie, hors des cinq secteurs demandés. Fibre Excellence (pâte à papier) de même. Ni l'un ni l'autre n'a été retenu.</t>
  </si>
  <si>
    <t xml:space="preserve">LECTURE DES SCORES</t>
  </si>
  <si>
    <t xml:space="preserve">Score de 1 à 5, moyenne pondérée des 7 critères de l'onglet « Grille Mali ». Classe A (&gt;= 4) : à instruire en priorité. Classe B (&gt;= 3) : à étudier. Classe C (&gt;= 2) : marginal. Classe D (&lt; 2) : non pertinent. Les notes sont des hypothèses sectorielles, pas des mesures — elles sont en bleu et destinées à être ajustées dossier par dossier.</t>
  </si>
  <si>
    <t xml:space="preserve">CODE COULEUR</t>
  </si>
  <si>
    <t xml:space="preserve">Bleu = cellule de saisie, modifiable. Noir = formule ou texte, ne pas écraser. Fond orangé = point de vigilance.</t>
  </si>
  <si>
    <t xml:space="preserve">AVERTISSEMENT JURIDIQUE</t>
  </si>
  <si>
    <t xml:space="preserve">Une reprise en plan de cession se joue devant le tribunal de commerce, dans un délai d'offre court (4 mois à compter de l'ouverture, souvent moins). Le transfert d'actifs hors de France peut se heurter au maintien de l'emploi, critère légal de sélection des offres, et à un contrôle des investissements étrangers sur les actifs sensibles — la pharmacie en particulier. À valider avec un conseil avant tout engagement.</t>
  </si>
  <si>
    <t xml:space="preserve">Secteur</t>
  </si>
  <si>
    <t xml:space="preserve">Raison sociale</t>
  </si>
  <si>
    <t xml:space="preserve">SIREN</t>
  </si>
  <si>
    <t xml:space="preserve">Localisation</t>
  </si>
  <si>
    <t xml:space="preserve">Effectif</t>
  </si>
  <si>
    <t xml:space="preserve">CA (EUR)</t>
  </si>
  <si>
    <t xml:space="preserve">Procédure</t>
  </si>
  <si>
    <t xml:space="preserve">Date jugement</t>
  </si>
  <si>
    <t xml:space="preserve">Statut / échéance</t>
  </si>
  <si>
    <t xml:space="preserve">Actifs industriels</t>
  </si>
  <si>
    <t xml:space="preserve">Source (URL)</t>
  </si>
  <si>
    <t xml:space="preserve">Fiabilité source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</si>
  <si>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</si>
  <si>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</si>
  <si>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</si>
  <si>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</si>
  <si>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</si>
  <si>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</si>
  <si>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</si>
  <si>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Score /5</t>
  </si>
  <si>
    <t xml:space="preserve">Classe</t>
  </si>
  <si>
    <t xml:space="preserve">Commentaire transfert Mali</t>
  </si>
  <si>
    <t xml:space="preserve">Transport &amp; logistique</t>
  </si>
  <si>
    <t xml:space="preserve">Ziegler France (et sa filiale Satra)</t>
  </si>
  <si>
    <t xml:space="preserve">n.d.</t>
  </si>
  <si>
    <t xml:space="preserve">Lille (59) — tribunal de commerce de Lille</t>
  </si>
  <si>
    <t xml:space="preserve">Liquidation judiciaire</t>
  </si>
  <si>
    <t xml:space="preserve">n.d. (2026)</t>
  </si>
  <si>
    <t xml:space="preserve">Liquidation prononcée — environ 1 500 emplois concernés</t>
  </si>
  <si>
    <t xml:space="preserve">Flotte poids lourds, agences, plateformes d'entreposage</t>
  </si>
  <si>
    <t xml:space="preserve">https://trans.info/fr/faillites-transport-france-2026-ziegler-pedretti-crise-468940</t>
  </si>
  <si>
    <t xml:space="preserve">Presse spécialisée</t>
  </si>
  <si>
    <t xml:space="preserve">Le plus gros gisement d'actifs roulants de l'échantillon. Des tracteurs et remorques devenus non conformes ZFE en France restent pleinement exploitables sur les corridors Dakar-Bamako et Abidjan-Bamako.</t>
  </si>
  <si>
    <t xml:space="preserve">Pedretti Distribution</t>
  </si>
  <si>
    <t xml:space="preserve">n.d. — 12 agences</t>
  </si>
  <si>
    <t xml:space="preserve">Redressement judiciaire</t>
  </si>
  <si>
    <t xml:space="preserve">n.d. (décembre 2025)</t>
  </si>
  <si>
    <t xml:space="preserve">Aucun repreneur trouvé à l'issue de la période d'observation</t>
  </si>
  <si>
    <t xml:space="preserve">Flotte de distribution, 12 agences</t>
  </si>
  <si>
    <t xml:space="preserve">Le réseau d'agences n'est pas transférable, la flotte et l'outillage d'atelier le sont. Vérifier l'âge moyen du parc avant toute offre.</t>
  </si>
  <si>
    <t xml:space="preserve">Sogran</t>
  </si>
  <si>
    <t xml:space="preserve">Région de Saint-Étienne (42)</t>
  </si>
  <si>
    <t xml:space="preserve">Liquidation — transporteur fondé en 1984</t>
  </si>
  <si>
    <t xml:space="preserve">Flotte régionale, atelier de maintenance</t>
  </si>
  <si>
    <t xml:space="preserve">https://sgtcf.fr/faillites-de-transporteurs-routiers-en-france-une-annee-2026-qui-demarre-sous-tension/</t>
  </si>
  <si>
    <t xml:space="preserve">Presse syndicale</t>
  </si>
  <si>
    <t xml:space="preserve">Taille adaptée à une première opération pilote : lot de véhicules homogène, atelier de maintenance reprenable en bloc.</t>
  </si>
  <si>
    <t xml:space="preserve">Fabrication de machines-outils</t>
  </si>
  <si>
    <t xml:space="preserve">Mécanuméric</t>
  </si>
  <si>
    <t xml:space="preserve">Tarn (81)</t>
  </si>
  <si>
    <t xml:space="preserve">n.d. (décembre 2024)</t>
  </si>
  <si>
    <t xml:space="preserve">Procédure ouverte — impact du recul de l'investissement industriel européen</t>
  </si>
  <si>
    <t xml:space="preserve">Équipements de découpe et d'usinage (constructeur)</t>
  </si>
  <si>
    <t xml:space="preserve">https://www.machinesproduction.fr/article/mecanumeric-en-redressement-un-passage-oblige-pour-rebondir</t>
  </si>
  <si>
    <t xml:space="preserve">Transférer une activité de construction de machines-outils au Mali n'est pas réaliste : l'écosystème de sous-traitance nécessaire est absent. En revanche le parc machines interne est reconvertible en atelier de mécanique générale pour la maintenance minière.</t>
  </si>
  <si>
    <t xml:space="preserve">Mécanique Gaillonnaise de Précision</t>
  </si>
  <si>
    <t xml:space="preserve">352461883</t>
  </si>
  <si>
    <t xml:space="preserve">Le Val d'Hazey (27940) — Eure</t>
  </si>
  <si>
    <t xml:space="preserve">2026-04-12</t>
  </si>
  <si>
    <t xml:space="preserve">Cessation des paiements fixée au 20/03/2026</t>
  </si>
  <si>
    <t xml:space="preserve">Parc machines de mécanique de précision</t>
  </si>
  <si>
    <t xml:space="preserve">https://www.procedures-collectives.com/entreprise/352461883-mecanique-gaillonnaise-de-precision/</t>
  </si>
  <si>
    <t xml:space="preserve">Base procédures collectives</t>
  </si>
  <si>
    <t xml:space="preserve">Seul dossier de l'échantillon avec SIREN confirmé et date de jugement précise. L'intérêt porte sur le parc machines, pas sur l'activité de précision elle-même.</t>
  </si>
  <si>
    <t xml:space="preserve">Gallez Industrie</t>
  </si>
  <si>
    <t xml:space="preserve">Pas-de-Calais (62)</t>
  </si>
  <si>
    <t xml:space="preserve">Cession en procédure collective</t>
  </si>
  <si>
    <t xml:space="preserve">À confirmer — annonce de cession par mandataire</t>
  </si>
  <si>
    <t xml:space="preserve">Sous-traitance mécanique automobile</t>
  </si>
  <si>
    <t xml:space="preserve">https://ajilink.fr/secteur-automobile-gallez-industrie-pas-de-calais/</t>
  </si>
  <si>
    <t xml:space="preserve">Faible — à confirmer</t>
  </si>
  <si>
    <t xml:space="preserve">Rattachement sectoriel à confirmer (mécanique ou plasturgie automobile). Ne pas instruire avant vérification du code APE au registre.</t>
  </si>
  <si>
    <t xml:space="preserve">Transformation plastique</t>
  </si>
  <si>
    <t xml:space="preserve">Tahe Outdoors France (ex-Bic Sport)</t>
  </si>
  <si>
    <t xml:space="preserve">Vannes (56) — tribunal de commerce de Vannes</t>
  </si>
  <si>
    <t xml:space="preserve">Redressement judiciaire (demande)</t>
  </si>
  <si>
    <t xml:space="preserve">2026-02-27</t>
  </si>
  <si>
    <t xml:space="preserve">Recherche active d'un repreneur</t>
  </si>
  <si>
    <t xml:space="preserve">Site de production de Vannes, technologies de transformation composites et plastiques</t>
  </si>
  <si>
    <t xml:space="preserve">https://www.usinenouvelle.com/polymeres-materiaux/materiaux/plastiques-et-composites/ex-bic-sport-le-groupe-tahe-outdoors-france-engage-une-procedure-de-redressement-judiciaire-et-cherche-un-repreneur.GD32GWOJWRCG3GRY622C3CEEWY.html</t>
  </si>
  <si>
    <t xml:space="preserve">Outillage de transformation polyvalent. Le produit fini (planches de sport nautique) n'a aucun marché malien : l'intérêt porte sur les moules, les presses et le savoir-faire composite, réaffectés à l'emballage ou au BTP.</t>
  </si>
  <si>
    <t xml:space="preserve">RecyOuest</t>
  </si>
  <si>
    <t xml:space="preserve">Orne (61) — Normandie</t>
  </si>
  <si>
    <t xml:space="preserve">6 M€ de dettes — la direction espère un repreneur</t>
  </si>
  <si>
    <t xml:space="preserve">Ligne de régénération de matières plastiques</t>
  </si>
  <si>
    <t xml:space="preserve">https://france3-regions.franceinfo.fr/normandie/orne/avec-6-millions-d-euros-de-dettes-l-entreprise-recyouest-placee-en-liquidation-judiciaire-la-directrice-espere-un-repreneur-3191679.html</t>
  </si>
  <si>
    <t xml:space="preserve">Presse régionale</t>
  </si>
  <si>
    <t xml:space="preserve">Cas le plus cohérent avec le contexte malien : une ligne de régénération alimentée par le gisement local de déchets plastiques répond à la fois au besoin en matière première et à un enjeu environnemental urbain à Bamako.</t>
  </si>
  <si>
    <t xml:space="preserve">Fabrication de matériel électrique</t>
  </si>
  <si>
    <t xml:space="preserve">Groupe Brandt</t>
  </si>
  <si>
    <t xml:space="preserve">Siège Nanterre (92) — sites Centre-Val de Loire</t>
  </si>
  <si>
    <t xml:space="preserve">Redressement en octobre puis liquidation prononcée par le TC de Nanterre — 700 emplois supprimés</t>
  </si>
  <si>
    <t xml:space="preserve">Lignes d'assemblage d'appareils électroménagers (NAF 27.51Z)</t>
  </si>
  <si>
    <t xml:space="preserve">https://www.francebleu.fr/infos/economie-social/groupe-brandt-le-tribunal-prononce-la-liquidation-judiciaire-700-emplois-supprimes-7701700</t>
  </si>
  <si>
    <t xml:space="preserve">Presse nationale</t>
  </si>
  <si>
    <t xml:space="preserve">Lignes d'assemblage à forte intensité de main-d'oeuvre, donc transférables sur le principe. Réserve majeure : la demande malienne en gros électroménager est étroite et très exposée au délestage.</t>
  </si>
  <si>
    <t xml:space="preserve">Groupe GCK</t>
  </si>
  <si>
    <t xml:space="preserve">Auvergne-Rhône-Alpes</t>
  </si>
  <si>
    <t xml:space="preserve">Recherche de repreneur — date limite de dépôt des offres au 19/06/2026</t>
  </si>
  <si>
    <t xml:space="preserve">Technologies de mobilité électrique</t>
  </si>
  <si>
    <t xml:space="preserve">https://www.spark-avocats.com/groupe-gck-cherche-repreneur-dans-le-cadre-dun-redressement-judiciaire/</t>
  </si>
  <si>
    <t xml:space="preserve">Cabinet d'avocats</t>
  </si>
  <si>
    <t xml:space="preserve">Positionnement retrofit et mobilité électrique sans marché malien à court terme. À écarter, sauf intérêt ciblé sur un banc d'essai ou un atelier de bobinage.</t>
  </si>
  <si>
    <t xml:space="preserve">Fabrication de médicaments génériques</t>
  </si>
  <si>
    <t xml:space="preserve">Ipsomédic</t>
  </si>
  <si>
    <t xml:space="preserve">Aubagne (13) — Bouches-du-Rhône</t>
  </si>
  <si>
    <t xml:space="preserve">2025-11-17</t>
  </si>
  <si>
    <t xml:space="preserve">Sursis obtenu jusqu'au 08/01/2026 pour trouver un repreneur</t>
  </si>
  <si>
    <t xml:space="preserve">4 brevets de procédé de production en continu de principes actifs (dont paracétamol)</t>
  </si>
  <si>
    <t xml:space="preserve">https://www.lejournaldesentreprises.com/breve/ipsomedic-detenteur-dune-licence-exclusive-pour-la-fabrication-du-paracetamol-en-sursis-jusquen-2133562</t>
  </si>
  <si>
    <t xml:space="preserve">Presse économique</t>
  </si>
  <si>
    <t xml:space="preserve">Le seul actif réellement stratégique de l'échantillon est immatériel : 4 brevets de production en continu d'API. Un transfert de licence ne suppose ni déplacement de ligne ni requalification de site — voie bien plus rapide qu'une reprise d'usine.</t>
  </si>
  <si>
    <t xml:space="preserve">Échantillon non exhaustif, issu de la presse et de bases publiques consultées le 30/08/2026 — voir l'onglet Lisez-moi. Les notes en bleu sont des hypothèses sectorielles reprises de referentiel.py, à ajuster après visite de site.</t>
  </si>
  <si>
    <t xml:space="preserve">Grille de transférabilité vers le Mali</t>
  </si>
  <si>
    <t xml:space="preserve">Notes de 1 à 5 : 5 = configuration la plus favorable au transfert. Les pondérations (bleu) sont modifiables ; leur somme doit rester à 100 %.</t>
  </si>
  <si>
    <t xml:space="preserve">Code</t>
  </si>
  <si>
    <t xml:space="preserve">Critère</t>
  </si>
  <si>
    <t xml:space="preserve">Pondération</t>
  </si>
  <si>
    <t xml:space="preserve">Définition et justification</t>
  </si>
  <si>
    <t xml:space="preserve">Intensité main-d'oeuvre</t>
  </si>
  <si>
    <t xml:space="preserve">Part du process reposant sur du travail manuel plutôt que sur de l'automatisation. Le Mali offre une main-d'oeuvre abondante et peu coûteuse ; un process automatisé n'y gagne rien.</t>
  </si>
  <si>
    <t xml:space="preserve">Sobriété énergétique</t>
  </si>
  <si>
    <t xml:space="preserve">Le réseau d'EDM-SA subit des délestages fréquents et un coût du kWh élevé. Un process électro-intensif en continu (extrusion, four, HVAC de salle blanche) exige une centrale captive — surcoût majeur.</t>
  </si>
  <si>
    <t xml:space="preserve">Simplicité technologique</t>
  </si>
  <si>
    <t xml:space="preserve">Niveau de qualification technique exigé par le process. Le vivier malien d'ingénieurs et de techniciens de maintenance industrielle reste étroit sur les métiers de précision.</t>
  </si>
  <si>
    <t xml:space="preserve">Transportabilité des actifs</t>
  </si>
  <si>
    <t xml:space="preserve">Aptitude des équipements à être démontés, conteneurisés et remontés. Une presse à injecter se déplace ; une ligne intégrée coulée dans le génie civil, non.</t>
  </si>
  <si>
    <t xml:space="preserve">Marché Mali / AES / UEMOA</t>
  </si>
  <si>
    <t xml:space="preserve">Demande locale et régionale adressable. Le Mali reste dans l'UEMOA (franc CFA) mais s'est retiré de la CEDEAO au profit de l'AES — le régime tarifaire applicable est à vérifier dossier par dossier.</t>
  </si>
  <si>
    <t xml:space="preserve">Faiblesse des barrières réglementaires</t>
  </si>
  <si>
    <t xml:space="preserve">Certifications à retransférer : BPF/GMP et AMM en pharmacie, marquage CE et normes produit en matériel électrique. Une requalification de site pharmaceutique se compte en années.</t>
  </si>
  <si>
    <t xml:space="preserve">Autonomie en intrants</t>
  </si>
  <si>
    <t xml:space="preserve">Dépendance aux matières importées. Le Mali est enclavé : tout intrant transite par les corridors Dakar, Abidjan, Lomé ou Conakry, avec le délai et le coût correspondants.</t>
  </si>
  <si>
    <t xml:space="preserve">Total</t>
  </si>
  <si>
    <t xml:space="preserve">Pondérations en ligne (utilisées par les formules de score)</t>
  </si>
  <si>
    <t xml:space="preserve">↳ recopie de la colonne C, ne pas saisir ici</t>
  </si>
  <si>
    <t xml:space="preserve">Barème de classement</t>
  </si>
  <si>
    <t xml:space="preserve">Seuil</t>
  </si>
  <si>
    <t xml:space="preserve">Lecture</t>
  </si>
  <si>
    <t xml:space="preserve">A — Prioritaire</t>
  </si>
  <si>
    <t xml:space="preserve">Score &gt;= 4,0</t>
  </si>
  <si>
    <t xml:space="preserve">Dossier à instruire en priorité.</t>
  </si>
  <si>
    <t xml:space="preserve">B — À étudier</t>
  </si>
  <si>
    <t xml:space="preserve">3,0 &lt;= score &lt; 4,0</t>
  </si>
  <si>
    <t xml:space="preserve">Transfert plausible sous conditions.</t>
  </si>
  <si>
    <t xml:space="preserve">C — Marginal</t>
  </si>
  <si>
    <t xml:space="preserve">2,0 &lt;= score &lt; 3,0</t>
  </si>
  <si>
    <t xml:space="preserve">Seuls certains actifs sont pertinents.</t>
  </si>
  <si>
    <t xml:space="preserve">D — Non pertinent</t>
  </si>
  <si>
    <t xml:space="preserve">Score &lt; 2,0</t>
  </si>
  <si>
    <t xml:space="preserve">Transfert non viable en l'état.</t>
  </si>
  <si>
    <t xml:space="preserve">Score moyen par secteur (échantillon sourcé)</t>
  </si>
  <si>
    <t xml:space="preserve">Nb dossiers</t>
  </si>
  <si>
    <t xml:space="preserve">Score moyen</t>
  </si>
  <si>
    <t xml:space="preserve">Classe moyenne</t>
  </si>
  <si>
    <t xml:space="preserve">Codes NAF retenus pour le filtrage BODACC</t>
  </si>
  <si>
    <t xml:space="preserve">Nomenclature NAF rév. 2. La NAF rév. 3 s'applique aux nouvelles immatriculations depuis 2026 : remapper avant d'exploiter des jugements postérieurs.</t>
  </si>
  <si>
    <t xml:space="preserve">Code NAF</t>
  </si>
  <si>
    <t xml:space="preserve">Libellé</t>
  </si>
  <si>
    <t xml:space="preserve">49.20Z</t>
  </si>
  <si>
    <t xml:space="preserve">Transports ferroviaires de fret</t>
  </si>
  <si>
    <t xml:space="preserve">49.41A</t>
  </si>
  <si>
    <t xml:space="preserve">Transports routiers de fret interurbains</t>
  </si>
  <si>
    <t xml:space="preserve">49.41B</t>
  </si>
  <si>
    <t xml:space="preserve">Transports routiers de fret de proximité</t>
  </si>
  <si>
    <t xml:space="preserve">49.41C</t>
  </si>
  <si>
    <t xml:space="preserve">Location de camions avec chauffeur</t>
  </si>
  <si>
    <t xml:space="preserve">49.42Z</t>
  </si>
  <si>
    <t xml:space="preserve">Services de déménagement</t>
  </si>
  <si>
    <t xml:space="preserve">50.40Z</t>
  </si>
  <si>
    <t xml:space="preserve">Transports fluviaux de fret</t>
  </si>
  <si>
    <t xml:space="preserve">52.10A</t>
  </si>
  <si>
    <t xml:space="preserve">Entreposage et stockage frigorifique</t>
  </si>
  <si>
    <t xml:space="preserve">52.10B</t>
  </si>
  <si>
    <t xml:space="preserve">Entreposage et stockage non frigorifique</t>
  </si>
  <si>
    <t xml:space="preserve">52.24A</t>
  </si>
  <si>
    <t xml:space="preserve">Manutention portuaire</t>
  </si>
  <si>
    <t xml:space="preserve">52.24B</t>
  </si>
  <si>
    <t xml:space="preserve">Manutention non portuaire</t>
  </si>
  <si>
    <t xml:space="preserve">52.29A</t>
  </si>
  <si>
    <t xml:space="preserve">Messagerie, fret express</t>
  </si>
  <si>
    <t xml:space="preserve">52.29B</t>
  </si>
  <si>
    <t xml:space="preserve">Affrètement et organisation des transports</t>
  </si>
  <si>
    <t xml:space="preserve">27.11Z</t>
  </si>
  <si>
    <t xml:space="preserve">Fabrication de moteurs, génératrices et transformateurs électriques</t>
  </si>
  <si>
    <t xml:space="preserve">27.12Z</t>
  </si>
  <si>
    <t xml:space="preserve">Fabrication de matériel de distribution et de commande électrique</t>
  </si>
  <si>
    <t xml:space="preserve">27.20Z</t>
  </si>
  <si>
    <t xml:space="preserve">Fabrication de piles et d'accumulateurs électriques</t>
  </si>
  <si>
    <t xml:space="preserve">27.31Z</t>
  </si>
  <si>
    <t xml:space="preserve">Fabrication de câbles de fibres optiques</t>
  </si>
  <si>
    <t xml:space="preserve">27.32Z</t>
  </si>
  <si>
    <t xml:space="preserve">Fabrication d'autres fils et câbles électroniques ou électriques</t>
  </si>
  <si>
    <t xml:space="preserve">27.33Z</t>
  </si>
  <si>
    <t xml:space="preserve">Fabrication de matériel d'installation électrique</t>
  </si>
  <si>
    <t xml:space="preserve">27.40Z</t>
  </si>
  <si>
    <t xml:space="preserve">Fabrication d'appareils d'éclairage électrique</t>
  </si>
  <si>
    <t xml:space="preserve">27.51Z</t>
  </si>
  <si>
    <t xml:space="preserve">Fabrication d'appareils électroménagers</t>
  </si>
  <si>
    <t xml:space="preserve">27.52Z</t>
  </si>
  <si>
    <t xml:space="preserve">Fabrication d'appareils ménagers non électriques</t>
  </si>
  <si>
    <t xml:space="preserve">27.90Z</t>
  </si>
  <si>
    <t xml:space="preserve">Fabrication d'autres matériels électriques</t>
  </si>
  <si>
    <t xml:space="preserve">25.62A</t>
  </si>
  <si>
    <t xml:space="preserve">Décolletage</t>
  </si>
  <si>
    <t xml:space="preserve">25.62B</t>
  </si>
  <si>
    <t xml:space="preserve">Mécanique industrielle</t>
  </si>
  <si>
    <t xml:space="preserve">28.25Z</t>
  </si>
  <si>
    <t xml:space="preserve">Fabrication d'équipements aérauliques et frigorifiques industriels</t>
  </si>
  <si>
    <t xml:space="preserve">28.29B</t>
  </si>
  <si>
    <t xml:space="preserve">Fabrication d'autres machines d'usage général</t>
  </si>
  <si>
    <t xml:space="preserve">28.41Z</t>
  </si>
  <si>
    <t xml:space="preserve">Fabrication de machines-outils pour le travail des métaux</t>
  </si>
  <si>
    <t xml:space="preserve">28.49Z</t>
  </si>
  <si>
    <t xml:space="preserve">Fabrication d'autres machines-outils</t>
  </si>
  <si>
    <t xml:space="preserve">28.99B</t>
  </si>
  <si>
    <t xml:space="preserve">Fabrication d'autres machines spécialisées</t>
  </si>
  <si>
    <t xml:space="preserve">22.21Z</t>
  </si>
  <si>
    <t xml:space="preserve">Fabrication de plaques, feuilles, tubes et profilés en matières plastiques</t>
  </si>
  <si>
    <t xml:space="preserve">22.22Z</t>
  </si>
  <si>
    <t xml:space="preserve">Fabrication d'emballages en matières plastiques</t>
  </si>
  <si>
    <t xml:space="preserve">22.23Z</t>
  </si>
  <si>
    <t xml:space="preserve">Fabrication d'éléments en matières plastiques pour la construction</t>
  </si>
  <si>
    <t xml:space="preserve">22.29A</t>
  </si>
  <si>
    <t xml:space="preserve">Fabrication de pièces techniques à base de matières plastiques</t>
  </si>
  <si>
    <t xml:space="preserve">22.29B</t>
  </si>
  <si>
    <t xml:space="preserve">Fabrication de produits de consommation courante en matières plastiques</t>
  </si>
  <si>
    <t xml:space="preserve">38.32Z</t>
  </si>
  <si>
    <t xml:space="preserve">Récupération de déchets triés (régénération de matières plastiques)</t>
  </si>
  <si>
    <t xml:space="preserve">21.10Z</t>
  </si>
  <si>
    <t xml:space="preserve">Fabrication de produits pharmaceutiques de base (principes actifs)</t>
  </si>
  <si>
    <t xml:space="preserve">21.20Z</t>
  </si>
  <si>
    <t xml:space="preserve">Fabrication de préparations pharmaceutiques (formes sèches, liquides)</t>
  </si>
  <si>
    <t xml:space="preserve">EXEMPLE — Plastiques du Rhône SAS</t>
  </si>
  <si>
    <t xml:space="preserve">812345678</t>
  </si>
  <si>
    <t xml:space="preserve">Vénissieux (69) — TC de Lyon</t>
  </si>
  <si>
    <t xml:space="preserve">2026-07-15</t>
  </si>
  <si>
    <t xml:space="preserve">Offres à déposer avant le 15/11/2026</t>
  </si>
  <si>
    <t xml:space="preserve">12 presses à injecter 80-450 t, 2 extrudeuses, atelier moules</t>
  </si>
  <si>
    <t xml:space="preserve">https://www.bodacc.fr/annonce/exemple</t>
  </si>
  <si>
    <t xml:space="preserve">BODACC — jugement publié</t>
  </si>
  <si>
    <t xml:space="preserve">EXEMPLE — ligne fictive de démonstration du format attendu. À supprimer avant exploitation.</t>
  </si>
  <si>
    <t xml:space="preserve">MODE D'EMPLOI — Saisir uniquement les cellules bleues. Les 7 colonnes C1 à C7 attendent une note de 1 à 5 (5 = le plus favorable au transfert) ; passer la souris sur l'en-tête d'une colonne pour en lire la définition. Les colonnes Score et Classe sont des formules : ne pas les écraser. Le score reste vide tant que les 7 notes ne sont pas renseignées.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</si>
</sst>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#,##0&quot; €&quot;"/>
    <numFmt numFmtId="168" formatCode="0.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tr">
        <f aca="true">TEXT(TODAY(),"DD/MM/YYYY")</f>
        <v>30/08/2026</v>
      </c>
    </row>
    <row r="4" customFormat="false" ht="51.75" hidden="false" customHeight="true" outlineLevel="0" collapsed="false">
      <c r="A4" s="3" t="s">
        <v>2</v>
      </c>
      <c r="B4" s="4" t="s">
        <v>3</v>
      </c>
    </row>
    <row r="6" customFormat="false" ht="39" hidden="false" customHeight="true" outlineLevel="0" collapsed="false">
      <c r="A6" s="3" t="s">
        <v>4</v>
      </c>
      <c r="B6" s="4" t="s">
        <v>5</v>
      </c>
    </row>
    <row r="8" customFormat="false" ht="78" hidden="false" customHeight="true" outlineLevel="0" collapsed="false">
      <c r="A8" s="5" t="s">
        <v>6</v>
      </c>
      <c r="B8" s="6" t="s">
        <v>7</v>
      </c>
    </row>
    <row r="10" customFormat="false" ht="51.75" hidden="false" customHeight="true" outlineLevel="0" collapsed="false">
      <c r="A10" s="3" t="s">
        <v>8</v>
      </c>
      <c r="B10" s="4" t="s">
        <v>9</v>
      </c>
    </row>
    <row r="12" customFormat="false" ht="64.5" hidden="false" customHeight="true" outlineLevel="0" collapsed="false">
      <c r="A12" s="3" t="s">
        <v>10</v>
      </c>
      <c r="B12" s="4" t="s">
        <v>11</v>
      </c>
    </row>
    <row r="14" customFormat="false" ht="39" hidden="false" customHeight="true" outlineLevel="0" collapsed="false">
      <c r="A14" s="3" t="s">
        <v>12</v>
      </c>
      <c r="B14" s="4" t="s">
        <v>13</v>
      </c>
    </row>
    <row r="16" customFormat="false" ht="51.75" hidden="false" customHeight="true" outlineLevel="0" collapsed="false">
      <c r="A16" s="3" t="s">
        <v>14</v>
      </c>
      <c r="B16" s="4" t="s">
        <v>15</v>
      </c>
    </row>
    <row r="18" customFormat="false" ht="30" hidden="false" customHeight="true" outlineLevel="0" collapsed="false">
      <c r="A18" s="3" t="s">
        <v>16</v>
      </c>
      <c r="B18" s="4" t="s">
        <v>17</v>
      </c>
    </row>
    <row r="20" customFormat="false" ht="64.5" hidden="false" customHeight="true" outlineLevel="0" collapsed="false">
      <c r="A20" s="5" t="s">
        <v>18</v>
      </c>
      <c r="B20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8"/>
    <col collapsed="false" customWidth="true" hidden="false" outlineLevel="0" max="10" min="10" style="0" width="40"/>
    <col collapsed="false" customWidth="true" hidden="false" outlineLevel="0" max="11" min="11" style="0" width="34"/>
    <col collapsed="false" customWidth="true" hidden="false" outlineLevel="0" max="12" min="12" style="0" width="18"/>
    <col collapsed="false" customWidth="true" hidden="false" outlineLevel="0" max="19" min="13" style="0" width="6"/>
    <col collapsed="false" customWidth="true" hidden="false" outlineLevel="0" max="20" min="20" style="0" width="10"/>
    <col collapsed="false" customWidth="true" hidden="false" outlineLevel="0" max="21" min="21" style="0" width="18"/>
    <col collapsed="false" customWidth="true" hidden="false" outlineLevel="0" max="22" min="22" style="0" width="78"/>
  </cols>
  <sheetData>
    <row r="1" customFormat="false" ht="33.75" hidden="false" customHeight="tru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</row>
    <row r="2" customFormat="false" ht="61.5" hidden="false" customHeight="true" outlineLevel="0" collapsed="false">
      <c r="A2" s="8" t="s">
        <v>42</v>
      </c>
      <c r="B2" s="8" t="s">
        <v>43</v>
      </c>
      <c r="C2" s="8" t="s">
        <v>44</v>
      </c>
      <c r="D2" s="8" t="s">
        <v>45</v>
      </c>
      <c r="E2" s="9" t="n">
        <v>1500</v>
      </c>
      <c r="F2" s="8" t="s">
        <v>44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10" t="n">
        <v>4</v>
      </c>
      <c r="N2" s="10" t="n">
        <v>5</v>
      </c>
      <c r="O2" s="10" t="n">
        <v>4</v>
      </c>
      <c r="P2" s="10" t="n">
        <v>5</v>
      </c>
      <c r="Q2" s="10" t="n">
        <v>5</v>
      </c>
      <c r="R2" s="10" t="n">
        <v>4</v>
      </c>
      <c r="S2" s="10" t="n">
        <v>3</v>
      </c>
      <c r="T2" s="11" t="n">
        <f aca="false">IF(COUNT(M2:S2)&lt;7,"",SUMPRODUCT(M2:S2,'Grille Mali'!$C$14:$I$14))</f>
        <v>4.45</v>
      </c>
      <c r="U2" s="12" t="str">
        <f aca="false">IF(NOT(ISNUMBER(T2)),"",IF(T2&gt;=4,"A — Prioritaire",IF(T2&gt;=3,"B — À étudier",IF(T2&gt;=2,"C — Marginal","D — Non pertinent"))))</f>
        <v>A — Prioritaire</v>
      </c>
      <c r="V2" s="8" t="s">
        <v>52</v>
      </c>
    </row>
    <row r="3" customFormat="false" ht="61.5" hidden="false" customHeight="true" outlineLevel="0" collapsed="false">
      <c r="A3" s="8" t="s">
        <v>42</v>
      </c>
      <c r="B3" s="8" t="s">
        <v>53</v>
      </c>
      <c r="C3" s="8" t="s">
        <v>44</v>
      </c>
      <c r="D3" s="8" t="s">
        <v>54</v>
      </c>
      <c r="E3" s="9" t="n">
        <v>390</v>
      </c>
      <c r="F3" s="13" t="n">
        <v>45000000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50</v>
      </c>
      <c r="L3" s="8" t="s">
        <v>51</v>
      </c>
      <c r="M3" s="10" t="n">
        <v>4</v>
      </c>
      <c r="N3" s="10" t="n">
        <v>5</v>
      </c>
      <c r="O3" s="10" t="n">
        <v>4</v>
      </c>
      <c r="P3" s="10" t="n">
        <v>5</v>
      </c>
      <c r="Q3" s="10" t="n">
        <v>5</v>
      </c>
      <c r="R3" s="10" t="n">
        <v>4</v>
      </c>
      <c r="S3" s="10" t="n">
        <v>3</v>
      </c>
      <c r="T3" s="11" t="n">
        <f aca="false">IF(COUNT(M3:S3)&lt;7,"",SUMPRODUCT(M3:S3,'Grille Mali'!$C$14:$I$14))</f>
        <v>4.45</v>
      </c>
      <c r="U3" s="12" t="str">
        <f aca="false">IF(NOT(ISNUMBER(T3)),"",IF(T3&gt;=4,"A — Prioritaire",IF(T3&gt;=3,"B — À étudier",IF(T3&gt;=2,"C — Marginal","D — Non pertinent"))))</f>
        <v>A — Prioritaire</v>
      </c>
      <c r="V3" s="8" t="s">
        <v>59</v>
      </c>
    </row>
    <row r="4" customFormat="false" ht="61.5" hidden="false" customHeight="true" outlineLevel="0" collapsed="false">
      <c r="A4" s="8" t="s">
        <v>42</v>
      </c>
      <c r="B4" s="8" t="s">
        <v>60</v>
      </c>
      <c r="C4" s="8" t="s">
        <v>44</v>
      </c>
      <c r="D4" s="8" t="s">
        <v>61</v>
      </c>
      <c r="E4" s="9" t="n">
        <v>110</v>
      </c>
      <c r="F4" s="8" t="s">
        <v>44</v>
      </c>
      <c r="G4" s="8" t="s">
        <v>46</v>
      </c>
      <c r="H4" s="8" t="s">
        <v>47</v>
      </c>
      <c r="I4" s="8" t="s">
        <v>62</v>
      </c>
      <c r="J4" s="8" t="s">
        <v>63</v>
      </c>
      <c r="K4" s="8" t="s">
        <v>64</v>
      </c>
      <c r="L4" s="8" t="s">
        <v>65</v>
      </c>
      <c r="M4" s="10" t="n">
        <v>4</v>
      </c>
      <c r="N4" s="10" t="n">
        <v>5</v>
      </c>
      <c r="O4" s="10" t="n">
        <v>4</v>
      </c>
      <c r="P4" s="10" t="n">
        <v>5</v>
      </c>
      <c r="Q4" s="10" t="n">
        <v>5</v>
      </c>
      <c r="R4" s="10" t="n">
        <v>4</v>
      </c>
      <c r="S4" s="10" t="n">
        <v>3</v>
      </c>
      <c r="T4" s="11" t="n">
        <f aca="false">IF(COUNT(M4:S4)&lt;7,"",SUMPRODUCT(M4:S4,'Grille Mali'!$C$14:$I$14))</f>
        <v>4.45</v>
      </c>
      <c r="U4" s="12" t="str">
        <f aca="false">IF(NOT(ISNUMBER(T4)),"",IF(T4&gt;=4,"A — Prioritaire",IF(T4&gt;=3,"B — À étudier",IF(T4&gt;=2,"C — Marginal","D — Non pertinent"))))</f>
        <v>A — Prioritaire</v>
      </c>
      <c r="V4" s="8" t="s">
        <v>66</v>
      </c>
    </row>
    <row r="5" customFormat="false" ht="61.5" hidden="false" customHeight="true" outlineLevel="0" collapsed="false">
      <c r="A5" s="8" t="s">
        <v>67</v>
      </c>
      <c r="B5" s="8" t="s">
        <v>68</v>
      </c>
      <c r="C5" s="8" t="s">
        <v>44</v>
      </c>
      <c r="D5" s="8" t="s">
        <v>69</v>
      </c>
      <c r="E5" s="8" t="s">
        <v>44</v>
      </c>
      <c r="F5" s="8" t="s">
        <v>44</v>
      </c>
      <c r="G5" s="8" t="s">
        <v>55</v>
      </c>
      <c r="H5" s="8" t="s">
        <v>70</v>
      </c>
      <c r="I5" s="8" t="s">
        <v>71</v>
      </c>
      <c r="J5" s="8" t="s">
        <v>72</v>
      </c>
      <c r="K5" s="8" t="s">
        <v>73</v>
      </c>
      <c r="L5" s="8" t="s">
        <v>51</v>
      </c>
      <c r="M5" s="10" t="n">
        <v>3</v>
      </c>
      <c r="N5" s="10" t="n">
        <v>2</v>
      </c>
      <c r="O5" s="10" t="n">
        <v>1</v>
      </c>
      <c r="P5" s="10" t="n">
        <v>3</v>
      </c>
      <c r="Q5" s="10" t="n">
        <v>2</v>
      </c>
      <c r="R5" s="10" t="n">
        <v>4</v>
      </c>
      <c r="S5" s="10" t="n">
        <v>2</v>
      </c>
      <c r="T5" s="11" t="n">
        <f aca="false">IF(COUNT(M5:S5)&lt;7,"",SUMPRODUCT(M5:S5,'Grille Mali'!$C$14:$I$14))</f>
        <v>2.4</v>
      </c>
      <c r="U5" s="12" t="str">
        <f aca="false">IF(NOT(ISNUMBER(T5)),"",IF(T5&gt;=4,"A — Prioritaire",IF(T5&gt;=3,"B — À étudier",IF(T5&gt;=2,"C — Marginal","D — Non pertinent"))))</f>
        <v>C — Marginal</v>
      </c>
      <c r="V5" s="8" t="s">
        <v>74</v>
      </c>
    </row>
    <row r="6" customFormat="false" ht="61.5" hidden="false" customHeight="true" outlineLevel="0" collapsed="false">
      <c r="A6" s="8" t="s">
        <v>67</v>
      </c>
      <c r="B6" s="8" t="s">
        <v>75</v>
      </c>
      <c r="C6" s="8" t="s">
        <v>76</v>
      </c>
      <c r="D6" s="8" t="s">
        <v>77</v>
      </c>
      <c r="E6" s="8" t="s">
        <v>44</v>
      </c>
      <c r="F6" s="8" t="s">
        <v>44</v>
      </c>
      <c r="G6" s="8" t="s">
        <v>55</v>
      </c>
      <c r="H6" s="8" t="s">
        <v>78</v>
      </c>
      <c r="I6" s="8" t="s">
        <v>79</v>
      </c>
      <c r="J6" s="8" t="s">
        <v>80</v>
      </c>
      <c r="K6" s="8" t="s">
        <v>81</v>
      </c>
      <c r="L6" s="8" t="s">
        <v>82</v>
      </c>
      <c r="M6" s="10" t="n">
        <v>3</v>
      </c>
      <c r="N6" s="10" t="n">
        <v>2</v>
      </c>
      <c r="O6" s="10" t="n">
        <v>1</v>
      </c>
      <c r="P6" s="10" t="n">
        <v>3</v>
      </c>
      <c r="Q6" s="10" t="n">
        <v>2</v>
      </c>
      <c r="R6" s="10" t="n">
        <v>4</v>
      </c>
      <c r="S6" s="10" t="n">
        <v>2</v>
      </c>
      <c r="T6" s="11" t="n">
        <f aca="false">IF(COUNT(M6:S6)&lt;7,"",SUMPRODUCT(M6:S6,'Grille Mali'!$C$14:$I$14))</f>
        <v>2.4</v>
      </c>
      <c r="U6" s="12" t="str">
        <f aca="false">IF(NOT(ISNUMBER(T6)),"",IF(T6&gt;=4,"A — Prioritaire",IF(T6&gt;=3,"B — À étudier",IF(T6&gt;=2,"C — Marginal","D — Non pertinent"))))</f>
        <v>C — Marginal</v>
      </c>
      <c r="V6" s="8" t="s">
        <v>83</v>
      </c>
    </row>
    <row r="7" customFormat="false" ht="61.5" hidden="false" customHeight="true" outlineLevel="0" collapsed="false">
      <c r="A7" s="8" t="s">
        <v>67</v>
      </c>
      <c r="B7" s="8" t="s">
        <v>84</v>
      </c>
      <c r="C7" s="8" t="s">
        <v>44</v>
      </c>
      <c r="D7" s="8" t="s">
        <v>85</v>
      </c>
      <c r="E7" s="8" t="s">
        <v>44</v>
      </c>
      <c r="F7" s="8" t="s">
        <v>44</v>
      </c>
      <c r="G7" s="8" t="s">
        <v>86</v>
      </c>
      <c r="H7" s="8" t="s">
        <v>44</v>
      </c>
      <c r="I7" s="8" t="s">
        <v>87</v>
      </c>
      <c r="J7" s="8" t="s">
        <v>88</v>
      </c>
      <c r="K7" s="8" t="s">
        <v>89</v>
      </c>
      <c r="L7" s="8" t="s">
        <v>90</v>
      </c>
      <c r="M7" s="10" t="n">
        <v>3</v>
      </c>
      <c r="N7" s="10" t="n">
        <v>2</v>
      </c>
      <c r="O7" s="10" t="n">
        <v>1</v>
      </c>
      <c r="P7" s="10" t="n">
        <v>3</v>
      </c>
      <c r="Q7" s="10" t="n">
        <v>2</v>
      </c>
      <c r="R7" s="10" t="n">
        <v>4</v>
      </c>
      <c r="S7" s="10" t="n">
        <v>2</v>
      </c>
      <c r="T7" s="11" t="n">
        <f aca="false">IF(COUNT(M7:S7)&lt;7,"",SUMPRODUCT(M7:S7,'Grille Mali'!$C$14:$I$14))</f>
        <v>2.4</v>
      </c>
      <c r="U7" s="12" t="str">
        <f aca="false">IF(NOT(ISNUMBER(T7)),"",IF(T7&gt;=4,"A — Prioritaire",IF(T7&gt;=3,"B — À étudier",IF(T7&gt;=2,"C — Marginal","D — Non pertinent"))))</f>
        <v>C — Marginal</v>
      </c>
      <c r="V7" s="8" t="s">
        <v>91</v>
      </c>
    </row>
    <row r="8" customFormat="false" ht="61.5" hidden="false" customHeight="true" outlineLevel="0" collapsed="false">
      <c r="A8" s="8" t="s">
        <v>92</v>
      </c>
      <c r="B8" s="8" t="s">
        <v>93</v>
      </c>
      <c r="C8" s="8" t="s">
        <v>44</v>
      </c>
      <c r="D8" s="8" t="s">
        <v>94</v>
      </c>
      <c r="E8" s="8" t="s">
        <v>44</v>
      </c>
      <c r="F8" s="8" t="s">
        <v>44</v>
      </c>
      <c r="G8" s="8" t="s">
        <v>95</v>
      </c>
      <c r="H8" s="8" t="s">
        <v>96</v>
      </c>
      <c r="I8" s="8" t="s">
        <v>97</v>
      </c>
      <c r="J8" s="8" t="s">
        <v>98</v>
      </c>
      <c r="K8" s="8" t="s">
        <v>99</v>
      </c>
      <c r="L8" s="8" t="s">
        <v>51</v>
      </c>
      <c r="M8" s="10" t="n">
        <v>4</v>
      </c>
      <c r="N8" s="10" t="n">
        <v>2</v>
      </c>
      <c r="O8" s="10" t="n">
        <v>4</v>
      </c>
      <c r="P8" s="10" t="n">
        <v>4</v>
      </c>
      <c r="Q8" s="10" t="n">
        <v>5</v>
      </c>
      <c r="R8" s="10" t="n">
        <v>4</v>
      </c>
      <c r="S8" s="10" t="n">
        <v>2</v>
      </c>
      <c r="T8" s="11" t="n">
        <f aca="false">IF(COUNT(M8:S8)&lt;7,"",SUMPRODUCT(M8:S8,'Grille Mali'!$C$14:$I$14))</f>
        <v>3.65</v>
      </c>
      <c r="U8" s="12" t="str">
        <f aca="false">IF(NOT(ISNUMBER(T8)),"",IF(T8&gt;=4,"A — Prioritaire",IF(T8&gt;=3,"B — À étudier",IF(T8&gt;=2,"C — Marginal","D — Non pertinent"))))</f>
        <v>B — À étudier</v>
      </c>
      <c r="V8" s="8" t="s">
        <v>100</v>
      </c>
    </row>
    <row r="9" customFormat="false" ht="61.5" hidden="false" customHeight="true" outlineLevel="0" collapsed="false">
      <c r="A9" s="8" t="s">
        <v>92</v>
      </c>
      <c r="B9" s="8" t="s">
        <v>101</v>
      </c>
      <c r="C9" s="8" t="s">
        <v>44</v>
      </c>
      <c r="D9" s="8" t="s">
        <v>102</v>
      </c>
      <c r="E9" s="8" t="s">
        <v>44</v>
      </c>
      <c r="F9" s="8" t="s">
        <v>44</v>
      </c>
      <c r="G9" s="8" t="s">
        <v>46</v>
      </c>
      <c r="H9" s="8" t="s">
        <v>44</v>
      </c>
      <c r="I9" s="8" t="s">
        <v>103</v>
      </c>
      <c r="J9" s="8" t="s">
        <v>104</v>
      </c>
      <c r="K9" s="8" t="s">
        <v>105</v>
      </c>
      <c r="L9" s="8" t="s">
        <v>106</v>
      </c>
      <c r="M9" s="10" t="n">
        <v>4</v>
      </c>
      <c r="N9" s="10" t="n">
        <v>2</v>
      </c>
      <c r="O9" s="10" t="n">
        <v>4</v>
      </c>
      <c r="P9" s="10" t="n">
        <v>4</v>
      </c>
      <c r="Q9" s="10" t="n">
        <v>5</v>
      </c>
      <c r="R9" s="10" t="n">
        <v>4</v>
      </c>
      <c r="S9" s="10" t="n">
        <v>2</v>
      </c>
      <c r="T9" s="11" t="n">
        <f aca="false">IF(COUNT(M9:S9)&lt;7,"",SUMPRODUCT(M9:S9,'Grille Mali'!$C$14:$I$14))</f>
        <v>3.65</v>
      </c>
      <c r="U9" s="12" t="str">
        <f aca="false">IF(NOT(ISNUMBER(T9)),"",IF(T9&gt;=4,"A — Prioritaire",IF(T9&gt;=3,"B — À étudier",IF(T9&gt;=2,"C — Marginal","D — Non pertinent"))))</f>
        <v>B — À étudier</v>
      </c>
      <c r="V9" s="8" t="s">
        <v>107</v>
      </c>
    </row>
    <row r="10" customFormat="false" ht="61.5" hidden="false" customHeight="true" outlineLevel="0" collapsed="false">
      <c r="A10" s="8" t="s">
        <v>108</v>
      </c>
      <c r="B10" s="8" t="s">
        <v>109</v>
      </c>
      <c r="C10" s="8" t="s">
        <v>44</v>
      </c>
      <c r="D10" s="8" t="s">
        <v>110</v>
      </c>
      <c r="E10" s="9" t="n">
        <v>700</v>
      </c>
      <c r="F10" s="8" t="s">
        <v>44</v>
      </c>
      <c r="G10" s="8" t="s">
        <v>46</v>
      </c>
      <c r="H10" s="8" t="s">
        <v>47</v>
      </c>
      <c r="I10" s="8" t="s">
        <v>111</v>
      </c>
      <c r="J10" s="8" t="s">
        <v>112</v>
      </c>
      <c r="K10" s="8" t="s">
        <v>113</v>
      </c>
      <c r="L10" s="8" t="s">
        <v>114</v>
      </c>
      <c r="M10" s="10" t="n">
        <v>4</v>
      </c>
      <c r="N10" s="10" t="n">
        <v>3</v>
      </c>
      <c r="O10" s="10" t="n">
        <v>3</v>
      </c>
      <c r="P10" s="10" t="n">
        <v>4</v>
      </c>
      <c r="Q10" s="10" t="n">
        <v>5</v>
      </c>
      <c r="R10" s="10" t="n">
        <v>3</v>
      </c>
      <c r="S10" s="10" t="n">
        <v>2</v>
      </c>
      <c r="T10" s="11" t="n">
        <f aca="false">IF(COUNT(M10:S10)&lt;7,"",SUMPRODUCT(M10:S10,'Grille Mali'!$C$14:$I$14))</f>
        <v>3.6</v>
      </c>
      <c r="U10" s="12" t="str">
        <f aca="false">IF(NOT(ISNUMBER(T10)),"",IF(T10&gt;=4,"A — Prioritaire",IF(T10&gt;=3,"B — À étudier",IF(T10&gt;=2,"C — Marginal","D — Non pertinent"))))</f>
        <v>B — À étudier</v>
      </c>
      <c r="V10" s="8" t="s">
        <v>115</v>
      </c>
    </row>
    <row r="11" customFormat="false" ht="61.5" hidden="false" customHeight="true" outlineLevel="0" collapsed="false">
      <c r="A11" s="8" t="s">
        <v>108</v>
      </c>
      <c r="B11" s="8" t="s">
        <v>116</v>
      </c>
      <c r="C11" s="8" t="s">
        <v>44</v>
      </c>
      <c r="D11" s="8" t="s">
        <v>117</v>
      </c>
      <c r="E11" s="8" t="s">
        <v>44</v>
      </c>
      <c r="F11" s="8" t="s">
        <v>44</v>
      </c>
      <c r="G11" s="8" t="s">
        <v>55</v>
      </c>
      <c r="H11" s="8" t="s">
        <v>47</v>
      </c>
      <c r="I11" s="8" t="s">
        <v>118</v>
      </c>
      <c r="J11" s="8" t="s">
        <v>119</v>
      </c>
      <c r="K11" s="8" t="s">
        <v>120</v>
      </c>
      <c r="L11" s="8" t="s">
        <v>121</v>
      </c>
      <c r="M11" s="10" t="n">
        <v>4</v>
      </c>
      <c r="N11" s="10" t="n">
        <v>3</v>
      </c>
      <c r="O11" s="10" t="n">
        <v>3</v>
      </c>
      <c r="P11" s="10" t="n">
        <v>4</v>
      </c>
      <c r="Q11" s="10" t="n">
        <v>5</v>
      </c>
      <c r="R11" s="10" t="n">
        <v>3</v>
      </c>
      <c r="S11" s="10" t="n">
        <v>2</v>
      </c>
      <c r="T11" s="11" t="n">
        <f aca="false">IF(COUNT(M11:S11)&lt;7,"",SUMPRODUCT(M11:S11,'Grille Mali'!$C$14:$I$14))</f>
        <v>3.6</v>
      </c>
      <c r="U11" s="12" t="str">
        <f aca="false">IF(NOT(ISNUMBER(T11)),"",IF(T11&gt;=4,"A — Prioritaire",IF(T11&gt;=3,"B — À étudier",IF(T11&gt;=2,"C — Marginal","D — Non pertinent"))))</f>
        <v>B — À étudier</v>
      </c>
      <c r="V11" s="8" t="s">
        <v>122</v>
      </c>
    </row>
    <row r="12" customFormat="false" ht="61.5" hidden="false" customHeight="true" outlineLevel="0" collapsed="false">
      <c r="A12" s="8" t="s">
        <v>123</v>
      </c>
      <c r="B12" s="8" t="s">
        <v>124</v>
      </c>
      <c r="C12" s="8" t="s">
        <v>44</v>
      </c>
      <c r="D12" s="8" t="s">
        <v>125</v>
      </c>
      <c r="E12" s="9" t="n">
        <v>17</v>
      </c>
      <c r="F12" s="13" t="n">
        <v>630483</v>
      </c>
      <c r="G12" s="8" t="s">
        <v>55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  <c r="M12" s="10" t="n">
        <v>3</v>
      </c>
      <c r="N12" s="10" t="n">
        <v>2</v>
      </c>
      <c r="O12" s="10" t="n">
        <v>1</v>
      </c>
      <c r="P12" s="10" t="n">
        <v>2</v>
      </c>
      <c r="Q12" s="10" t="n">
        <v>5</v>
      </c>
      <c r="R12" s="10" t="n">
        <v>1</v>
      </c>
      <c r="S12" s="10" t="n">
        <v>2</v>
      </c>
      <c r="T12" s="11" t="n">
        <f aca="false">IF(COUNT(M12:S12)&lt;7,"",SUMPRODUCT(M12:S12,'Grille Mali'!$C$14:$I$14))</f>
        <v>2.4</v>
      </c>
      <c r="U12" s="12" t="str">
        <f aca="false">IF(NOT(ISNUMBER(T12)),"",IF(T12&gt;=4,"A — Prioritaire",IF(T12&gt;=3,"B — À étudier",IF(T12&gt;=2,"C — Marginal","D — Non pertinent"))))</f>
        <v>C — Marginal</v>
      </c>
      <c r="V12" s="8" t="s">
        <v>131</v>
      </c>
    </row>
    <row r="14" customFormat="false" ht="15" hidden="false" customHeight="false" outlineLevel="0" collapsed="false">
      <c r="A14" s="14" t="s">
        <v>132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</sheetData>
  <autoFilter ref="A1:V12"/>
  <mergeCells count="1">
    <mergeCell ref="A14:V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2"/>
    <col collapsed="false" customWidth="true" hidden="false" outlineLevel="0" max="9" min="5" style="0" width="12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3" customFormat="false" ht="33.75" hidden="false" customHeight="true" outlineLevel="0" collapsed="false">
      <c r="A3" s="7" t="s">
        <v>135</v>
      </c>
      <c r="B3" s="7" t="s">
        <v>136</v>
      </c>
      <c r="C3" s="7" t="s">
        <v>137</v>
      </c>
      <c r="D3" s="7" t="s">
        <v>138</v>
      </c>
    </row>
    <row r="4" customFormat="false" ht="43.5" hidden="false" customHeight="true" outlineLevel="0" collapsed="false">
      <c r="A4" s="15" t="s">
        <v>32</v>
      </c>
      <c r="B4" s="16" t="s">
        <v>139</v>
      </c>
      <c r="C4" s="17" t="n">
        <v>0.2</v>
      </c>
      <c r="D4" s="8" t="s">
        <v>140</v>
      </c>
    </row>
    <row r="5" customFormat="false" ht="43.5" hidden="false" customHeight="true" outlineLevel="0" collapsed="false">
      <c r="A5" s="15" t="s">
        <v>33</v>
      </c>
      <c r="B5" s="16" t="s">
        <v>141</v>
      </c>
      <c r="C5" s="17" t="n">
        <v>0.2</v>
      </c>
      <c r="D5" s="8" t="s">
        <v>142</v>
      </c>
    </row>
    <row r="6" customFormat="false" ht="43.5" hidden="false" customHeight="true" outlineLevel="0" collapsed="false">
      <c r="A6" s="15" t="s">
        <v>34</v>
      </c>
      <c r="B6" s="16" t="s">
        <v>143</v>
      </c>
      <c r="C6" s="17" t="n">
        <v>0.15</v>
      </c>
      <c r="D6" s="8" t="s">
        <v>144</v>
      </c>
    </row>
    <row r="7" customFormat="false" ht="43.5" hidden="false" customHeight="true" outlineLevel="0" collapsed="false">
      <c r="A7" s="15" t="s">
        <v>35</v>
      </c>
      <c r="B7" s="16" t="s">
        <v>145</v>
      </c>
      <c r="C7" s="17" t="n">
        <v>0.15</v>
      </c>
      <c r="D7" s="8" t="s">
        <v>146</v>
      </c>
    </row>
    <row r="8" customFormat="false" ht="43.5" hidden="false" customHeight="true" outlineLevel="0" collapsed="false">
      <c r="A8" s="15" t="s">
        <v>36</v>
      </c>
      <c r="B8" s="16" t="s">
        <v>147</v>
      </c>
      <c r="C8" s="17" t="n">
        <v>0.15</v>
      </c>
      <c r="D8" s="8" t="s">
        <v>148</v>
      </c>
    </row>
    <row r="9" customFormat="false" ht="43.5" hidden="false" customHeight="true" outlineLevel="0" collapsed="false">
      <c r="A9" s="15" t="s">
        <v>37</v>
      </c>
      <c r="B9" s="16" t="s">
        <v>149</v>
      </c>
      <c r="C9" s="17" t="n">
        <v>0.1</v>
      </c>
      <c r="D9" s="8" t="s">
        <v>150</v>
      </c>
    </row>
    <row r="10" customFormat="false" ht="43.5" hidden="false" customHeight="true" outlineLevel="0" collapsed="false">
      <c r="A10" s="15" t="s">
        <v>38</v>
      </c>
      <c r="B10" s="16" t="s">
        <v>151</v>
      </c>
      <c r="C10" s="17" t="n">
        <v>0.05</v>
      </c>
      <c r="D10" s="8" t="s">
        <v>152</v>
      </c>
    </row>
    <row r="11" customFormat="false" ht="15" hidden="false" customHeight="false" outlineLevel="0" collapsed="false">
      <c r="B11" s="18" t="s">
        <v>153</v>
      </c>
      <c r="C11" s="19" t="n">
        <f aca="false">SUM(C4:C10)</f>
        <v>1</v>
      </c>
      <c r="D11" s="18" t="str">
        <f aca="false">IF(ROUND(C11,6)=1,"Pondérations cohérentes.","ANOMALIE : la somme des pondérations doit valoir 100 %.")</f>
        <v>Pondérations cohérentes.</v>
      </c>
    </row>
    <row r="13" customFormat="false" ht="15" hidden="false" customHeight="false" outlineLevel="0" collapsed="false">
      <c r="B13" s="18" t="s">
        <v>154</v>
      </c>
      <c r="C13" s="20" t="s">
        <v>32</v>
      </c>
      <c r="D13" s="20" t="s">
        <v>33</v>
      </c>
      <c r="E13" s="20" t="s">
        <v>34</v>
      </c>
      <c r="F13" s="20" t="s">
        <v>35</v>
      </c>
      <c r="G13" s="20" t="s">
        <v>36</v>
      </c>
      <c r="H13" s="20" t="s">
        <v>37</v>
      </c>
      <c r="I13" s="20" t="s">
        <v>38</v>
      </c>
    </row>
    <row r="14" customFormat="false" ht="15" hidden="false" customHeight="false" outlineLevel="0" collapsed="false">
      <c r="B14" s="2" t="s">
        <v>155</v>
      </c>
      <c r="C14" s="21" t="n">
        <f aca="false">C4</f>
        <v>0.2</v>
      </c>
      <c r="D14" s="21" t="n">
        <f aca="false">C5</f>
        <v>0.2</v>
      </c>
      <c r="E14" s="21" t="n">
        <f aca="false">C6</f>
        <v>0.15</v>
      </c>
      <c r="F14" s="21" t="n">
        <f aca="false">C7</f>
        <v>0.15</v>
      </c>
      <c r="G14" s="21" t="n">
        <f aca="false">C8</f>
        <v>0.15</v>
      </c>
      <c r="H14" s="21" t="n">
        <f aca="false">C9</f>
        <v>0.1</v>
      </c>
      <c r="I14" s="21" t="n">
        <f aca="false">C10</f>
        <v>0.05</v>
      </c>
    </row>
    <row r="16" customFormat="false" ht="15" hidden="false" customHeight="false" outlineLevel="0" collapsed="false">
      <c r="A16" s="3" t="s">
        <v>156</v>
      </c>
    </row>
    <row r="17" customFormat="false" ht="33.75" hidden="false" customHeight="true" outlineLevel="0" collapsed="false">
      <c r="A17" s="7" t="s">
        <v>40</v>
      </c>
      <c r="B17" s="7" t="s">
        <v>157</v>
      </c>
      <c r="C17" s="7" t="s">
        <v>158</v>
      </c>
    </row>
    <row r="18" customFormat="false" ht="15" hidden="false" customHeight="false" outlineLevel="0" collapsed="false">
      <c r="A18" s="16" t="s">
        <v>159</v>
      </c>
      <c r="B18" s="16" t="s">
        <v>160</v>
      </c>
      <c r="C18" s="16" t="s">
        <v>161</v>
      </c>
    </row>
    <row r="19" customFormat="false" ht="15" hidden="false" customHeight="false" outlineLevel="0" collapsed="false">
      <c r="A19" s="16" t="s">
        <v>162</v>
      </c>
      <c r="B19" s="16" t="s">
        <v>163</v>
      </c>
      <c r="C19" s="16" t="s">
        <v>164</v>
      </c>
    </row>
    <row r="20" customFormat="false" ht="15" hidden="false" customHeight="false" outlineLevel="0" collapsed="false">
      <c r="A20" s="16" t="s">
        <v>165</v>
      </c>
      <c r="B20" s="16" t="s">
        <v>166</v>
      </c>
      <c r="C20" s="16" t="s">
        <v>167</v>
      </c>
    </row>
    <row r="21" customFormat="false" ht="15" hidden="false" customHeight="false" outlineLevel="0" collapsed="false">
      <c r="A21" s="16" t="s">
        <v>168</v>
      </c>
      <c r="B21" s="16" t="s">
        <v>169</v>
      </c>
      <c r="C21" s="16" t="s">
        <v>170</v>
      </c>
    </row>
    <row r="24" customFormat="false" ht="15" hidden="false" customHeight="false" outlineLevel="0" collapsed="false">
      <c r="A24" s="3" t="s">
        <v>171</v>
      </c>
    </row>
    <row r="25" customFormat="false" ht="33.75" hidden="false" customHeight="true" outlineLevel="0" collapsed="false">
      <c r="A25" s="7" t="s">
        <v>20</v>
      </c>
      <c r="B25" s="7" t="s">
        <v>172</v>
      </c>
      <c r="C25" s="7" t="s">
        <v>173</v>
      </c>
      <c r="D25" s="7" t="s">
        <v>174</v>
      </c>
    </row>
    <row r="26" customFormat="false" ht="15" hidden="false" customHeight="false" outlineLevel="0" collapsed="false">
      <c r="A26" s="16" t="s">
        <v>42</v>
      </c>
      <c r="B26" s="22" t="n">
        <f aca="false">SUMPRODUCT(--(TRIM('Cas identifiés'!$A$2:$A$12)=TRIM($A26)))</f>
        <v>3</v>
      </c>
      <c r="C26" s="23" t="n">
        <f aca="false">IFERROR(SUMPRODUCT(--(TRIM('Cas identifiés'!$A$2:$A$12)=TRIM($A26)),'Cas identifiés'!$T$2:$T$12)/$B26,"n.d.")</f>
        <v>4.45</v>
      </c>
      <c r="D26" s="22" t="str">
        <f aca="false">IF(NOT(ISNUMBER($C26)),"n.d.",IF($C26&gt;=4,"A",IF($C26&gt;=3,"B",IF($C26&gt;=2,"C","D"))))</f>
        <v>A</v>
      </c>
    </row>
    <row r="27" customFormat="false" ht="15" hidden="false" customHeight="false" outlineLevel="0" collapsed="false">
      <c r="A27" s="16" t="s">
        <v>108</v>
      </c>
      <c r="B27" s="22" t="n">
        <f aca="false">SUMPRODUCT(--(TRIM('Cas identifiés'!$A$2:$A$12)=TRIM($A27)))</f>
        <v>2</v>
      </c>
      <c r="C27" s="23" t="n">
        <f aca="false">IFERROR(SUMPRODUCT(--(TRIM('Cas identifiés'!$A$2:$A$12)=TRIM($A27)),'Cas identifiés'!$T$2:$T$12)/$B27,"n.d.")</f>
        <v>3.6</v>
      </c>
      <c r="D27" s="22" t="str">
        <f aca="false">IF(NOT(ISNUMBER($C27)),"n.d.",IF($C27&gt;=4,"A",IF($C27&gt;=3,"B",IF($C27&gt;=2,"C","D"))))</f>
        <v>B</v>
      </c>
    </row>
    <row r="28" customFormat="false" ht="15" hidden="false" customHeight="false" outlineLevel="0" collapsed="false">
      <c r="A28" s="16" t="s">
        <v>67</v>
      </c>
      <c r="B28" s="22" t="n">
        <f aca="false">SUMPRODUCT(--(TRIM('Cas identifiés'!$A$2:$A$12)=TRIM($A28)))</f>
        <v>3</v>
      </c>
      <c r="C28" s="23" t="n">
        <f aca="false">IFERROR(SUMPRODUCT(--(TRIM('Cas identifiés'!$A$2:$A$12)=TRIM($A28)),'Cas identifiés'!$T$2:$T$12)/$B28,"n.d.")</f>
        <v>2.4</v>
      </c>
      <c r="D28" s="22" t="str">
        <f aca="false">IF(NOT(ISNUMBER($C28)),"n.d.",IF($C28&gt;=4,"A",IF($C28&gt;=3,"B",IF($C28&gt;=2,"C","D"))))</f>
        <v>C</v>
      </c>
    </row>
    <row r="29" customFormat="false" ht="15" hidden="false" customHeight="false" outlineLevel="0" collapsed="false">
      <c r="A29" s="16" t="s">
        <v>92</v>
      </c>
      <c r="B29" s="22" t="n">
        <f aca="false">SUMPRODUCT(--(TRIM('Cas identifiés'!$A$2:$A$12)=TRIM($A29)))</f>
        <v>2</v>
      </c>
      <c r="C29" s="23" t="n">
        <f aca="false">IFERROR(SUMPRODUCT(--(TRIM('Cas identifiés'!$A$2:$A$12)=TRIM($A29)),'Cas identifiés'!$T$2:$T$12)/$B29,"n.d.")</f>
        <v>3.65</v>
      </c>
      <c r="D29" s="22" t="str">
        <f aca="false">IF(NOT(ISNUMBER($C29)),"n.d.",IF($C29&gt;=4,"A",IF($C29&gt;=3,"B",IF($C29&gt;=2,"C","D"))))</f>
        <v>B</v>
      </c>
    </row>
    <row r="30" customFormat="false" ht="15" hidden="false" customHeight="false" outlineLevel="0" collapsed="false">
      <c r="A30" s="16" t="s">
        <v>123</v>
      </c>
      <c r="B30" s="22" t="n">
        <f aca="false">SUMPRODUCT(--(TRIM('Cas identifiés'!$A$2:$A$12)=TRIM($A30)))</f>
        <v>1</v>
      </c>
      <c r="C30" s="23" t="n">
        <f aca="false">IFERROR(SUMPRODUCT(--(TRIM('Cas identifiés'!$A$2:$A$12)=TRIM($A30)),'Cas identifiés'!$T$2:$T$12)/$B30,"n.d.")</f>
        <v>2.4</v>
      </c>
      <c r="D30" s="22" t="str">
        <f aca="false">IF(NOT(ISNUMBER($C30)),"n.d.",IF($C30&gt;=4,"A",IF($C30&gt;=3,"B",IF($C30&gt;=2,"C","D"))))</f>
        <v>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86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4" t="s">
        <v>176</v>
      </c>
    </row>
    <row r="3" customFormat="false" ht="33.75" hidden="false" customHeight="true" outlineLevel="0" collapsed="false">
      <c r="A3" s="7" t="s">
        <v>20</v>
      </c>
      <c r="B3" s="7" t="s">
        <v>177</v>
      </c>
      <c r="C3" s="7" t="s">
        <v>178</v>
      </c>
    </row>
    <row r="4" customFormat="false" ht="15" hidden="false" customHeight="true" outlineLevel="0" collapsed="false">
      <c r="A4" s="25" t="s">
        <v>42</v>
      </c>
      <c r="B4" s="12" t="s">
        <v>179</v>
      </c>
      <c r="C4" s="8" t="s">
        <v>180</v>
      </c>
    </row>
    <row r="5" customFormat="false" ht="15" hidden="false" customHeight="false" outlineLevel="0" collapsed="false">
      <c r="A5" s="25"/>
      <c r="B5" s="12" t="s">
        <v>181</v>
      </c>
      <c r="C5" s="8" t="s">
        <v>182</v>
      </c>
    </row>
    <row r="6" customFormat="false" ht="15" hidden="false" customHeight="false" outlineLevel="0" collapsed="false">
      <c r="A6" s="25"/>
      <c r="B6" s="12" t="s">
        <v>183</v>
      </c>
      <c r="C6" s="8" t="s">
        <v>184</v>
      </c>
    </row>
    <row r="7" customFormat="false" ht="15" hidden="false" customHeight="false" outlineLevel="0" collapsed="false">
      <c r="A7" s="25"/>
      <c r="B7" s="12" t="s">
        <v>185</v>
      </c>
      <c r="C7" s="8" t="s">
        <v>186</v>
      </c>
    </row>
    <row r="8" customFormat="false" ht="15" hidden="false" customHeight="false" outlineLevel="0" collapsed="false">
      <c r="A8" s="25"/>
      <c r="B8" s="12" t="s">
        <v>187</v>
      </c>
      <c r="C8" s="8" t="s">
        <v>188</v>
      </c>
    </row>
    <row r="9" customFormat="false" ht="15" hidden="false" customHeight="false" outlineLevel="0" collapsed="false">
      <c r="A9" s="25"/>
      <c r="B9" s="12" t="s">
        <v>189</v>
      </c>
      <c r="C9" s="8" t="s">
        <v>190</v>
      </c>
    </row>
    <row r="10" customFormat="false" ht="15" hidden="false" customHeight="false" outlineLevel="0" collapsed="false">
      <c r="A10" s="25"/>
      <c r="B10" s="12" t="s">
        <v>191</v>
      </c>
      <c r="C10" s="8" t="s">
        <v>192</v>
      </c>
    </row>
    <row r="11" customFormat="false" ht="15" hidden="false" customHeight="false" outlineLevel="0" collapsed="false">
      <c r="A11" s="25"/>
      <c r="B11" s="12" t="s">
        <v>193</v>
      </c>
      <c r="C11" s="8" t="s">
        <v>194</v>
      </c>
    </row>
    <row r="12" customFormat="false" ht="15" hidden="false" customHeight="false" outlineLevel="0" collapsed="false">
      <c r="A12" s="25"/>
      <c r="B12" s="12" t="s">
        <v>195</v>
      </c>
      <c r="C12" s="8" t="s">
        <v>196</v>
      </c>
    </row>
    <row r="13" customFormat="false" ht="15" hidden="false" customHeight="false" outlineLevel="0" collapsed="false">
      <c r="A13" s="25"/>
      <c r="B13" s="12" t="s">
        <v>197</v>
      </c>
      <c r="C13" s="8" t="s">
        <v>198</v>
      </c>
    </row>
    <row r="14" customFormat="false" ht="15" hidden="false" customHeight="false" outlineLevel="0" collapsed="false">
      <c r="A14" s="25"/>
      <c r="B14" s="12" t="s">
        <v>199</v>
      </c>
      <c r="C14" s="8" t="s">
        <v>200</v>
      </c>
    </row>
    <row r="15" customFormat="false" ht="15" hidden="false" customHeight="false" outlineLevel="0" collapsed="false">
      <c r="A15" s="25"/>
      <c r="B15" s="12" t="s">
        <v>201</v>
      </c>
      <c r="C15" s="8" t="s">
        <v>202</v>
      </c>
    </row>
    <row r="16" customFormat="false" ht="15" hidden="false" customHeight="true" outlineLevel="0" collapsed="false">
      <c r="A16" s="25" t="s">
        <v>108</v>
      </c>
      <c r="B16" s="12" t="s">
        <v>203</v>
      </c>
      <c r="C16" s="8" t="s">
        <v>204</v>
      </c>
    </row>
    <row r="17" customFormat="false" ht="15" hidden="false" customHeight="false" outlineLevel="0" collapsed="false">
      <c r="A17" s="25"/>
      <c r="B17" s="12" t="s">
        <v>205</v>
      </c>
      <c r="C17" s="8" t="s">
        <v>206</v>
      </c>
    </row>
    <row r="18" customFormat="false" ht="15" hidden="false" customHeight="false" outlineLevel="0" collapsed="false">
      <c r="A18" s="25"/>
      <c r="B18" s="12" t="s">
        <v>207</v>
      </c>
      <c r="C18" s="8" t="s">
        <v>208</v>
      </c>
    </row>
    <row r="19" customFormat="false" ht="15" hidden="false" customHeight="false" outlineLevel="0" collapsed="false">
      <c r="A19" s="25"/>
      <c r="B19" s="12" t="s">
        <v>209</v>
      </c>
      <c r="C19" s="8" t="s">
        <v>210</v>
      </c>
    </row>
    <row r="20" customFormat="false" ht="15" hidden="false" customHeight="false" outlineLevel="0" collapsed="false">
      <c r="A20" s="25"/>
      <c r="B20" s="12" t="s">
        <v>211</v>
      </c>
      <c r="C20" s="8" t="s">
        <v>212</v>
      </c>
    </row>
    <row r="21" customFormat="false" ht="15" hidden="false" customHeight="false" outlineLevel="0" collapsed="false">
      <c r="A21" s="25"/>
      <c r="B21" s="12" t="s">
        <v>213</v>
      </c>
      <c r="C21" s="8" t="s">
        <v>214</v>
      </c>
    </row>
    <row r="22" customFormat="false" ht="15" hidden="false" customHeight="false" outlineLevel="0" collapsed="false">
      <c r="A22" s="25"/>
      <c r="B22" s="12" t="s">
        <v>215</v>
      </c>
      <c r="C22" s="8" t="s">
        <v>216</v>
      </c>
    </row>
    <row r="23" customFormat="false" ht="15" hidden="false" customHeight="false" outlineLevel="0" collapsed="false">
      <c r="A23" s="25"/>
      <c r="B23" s="12" t="s">
        <v>217</v>
      </c>
      <c r="C23" s="8" t="s">
        <v>218</v>
      </c>
    </row>
    <row r="24" customFormat="false" ht="15" hidden="false" customHeight="false" outlineLevel="0" collapsed="false">
      <c r="A24" s="25"/>
      <c r="B24" s="12" t="s">
        <v>219</v>
      </c>
      <c r="C24" s="8" t="s">
        <v>220</v>
      </c>
    </row>
    <row r="25" customFormat="false" ht="15" hidden="false" customHeight="false" outlineLevel="0" collapsed="false">
      <c r="A25" s="25"/>
      <c r="B25" s="12" t="s">
        <v>221</v>
      </c>
      <c r="C25" s="8" t="s">
        <v>222</v>
      </c>
    </row>
    <row r="26" customFormat="false" ht="15" hidden="false" customHeight="true" outlineLevel="0" collapsed="false">
      <c r="A26" s="25" t="s">
        <v>67</v>
      </c>
      <c r="B26" s="12" t="s">
        <v>223</v>
      </c>
      <c r="C26" s="8" t="s">
        <v>224</v>
      </c>
    </row>
    <row r="27" customFormat="false" ht="15" hidden="false" customHeight="false" outlineLevel="0" collapsed="false">
      <c r="A27" s="25"/>
      <c r="B27" s="12" t="s">
        <v>225</v>
      </c>
      <c r="C27" s="8" t="s">
        <v>226</v>
      </c>
    </row>
    <row r="28" customFormat="false" ht="15" hidden="false" customHeight="false" outlineLevel="0" collapsed="false">
      <c r="A28" s="25"/>
      <c r="B28" s="12" t="s">
        <v>227</v>
      </c>
      <c r="C28" s="8" t="s">
        <v>228</v>
      </c>
    </row>
    <row r="29" customFormat="false" ht="15" hidden="false" customHeight="false" outlineLevel="0" collapsed="false">
      <c r="A29" s="25"/>
      <c r="B29" s="12" t="s">
        <v>229</v>
      </c>
      <c r="C29" s="8" t="s">
        <v>230</v>
      </c>
    </row>
    <row r="30" customFormat="false" ht="15" hidden="false" customHeight="false" outlineLevel="0" collapsed="false">
      <c r="A30" s="25"/>
      <c r="B30" s="12" t="s">
        <v>231</v>
      </c>
      <c r="C30" s="8" t="s">
        <v>232</v>
      </c>
    </row>
    <row r="31" customFormat="false" ht="15" hidden="false" customHeight="false" outlineLevel="0" collapsed="false">
      <c r="A31" s="25"/>
      <c r="B31" s="12" t="s">
        <v>233</v>
      </c>
      <c r="C31" s="8" t="s">
        <v>234</v>
      </c>
    </row>
    <row r="32" customFormat="false" ht="15" hidden="false" customHeight="false" outlineLevel="0" collapsed="false">
      <c r="A32" s="25"/>
      <c r="B32" s="12" t="s">
        <v>235</v>
      </c>
      <c r="C32" s="8" t="s">
        <v>236</v>
      </c>
    </row>
    <row r="33" customFormat="false" ht="15" hidden="false" customHeight="true" outlineLevel="0" collapsed="false">
      <c r="A33" s="25" t="s">
        <v>92</v>
      </c>
      <c r="B33" s="12" t="s">
        <v>237</v>
      </c>
      <c r="C33" s="8" t="s">
        <v>238</v>
      </c>
    </row>
    <row r="34" customFormat="false" ht="15" hidden="false" customHeight="false" outlineLevel="0" collapsed="false">
      <c r="A34" s="25"/>
      <c r="B34" s="12" t="s">
        <v>239</v>
      </c>
      <c r="C34" s="8" t="s">
        <v>240</v>
      </c>
    </row>
    <row r="35" customFormat="false" ht="15" hidden="false" customHeight="false" outlineLevel="0" collapsed="false">
      <c r="A35" s="25"/>
      <c r="B35" s="12" t="s">
        <v>241</v>
      </c>
      <c r="C35" s="8" t="s">
        <v>242</v>
      </c>
    </row>
    <row r="36" customFormat="false" ht="15" hidden="false" customHeight="false" outlineLevel="0" collapsed="false">
      <c r="A36" s="25"/>
      <c r="B36" s="12" t="s">
        <v>243</v>
      </c>
      <c r="C36" s="8" t="s">
        <v>244</v>
      </c>
    </row>
    <row r="37" customFormat="false" ht="15" hidden="false" customHeight="false" outlineLevel="0" collapsed="false">
      <c r="A37" s="25"/>
      <c r="B37" s="12" t="s">
        <v>245</v>
      </c>
      <c r="C37" s="8" t="s">
        <v>246</v>
      </c>
    </row>
    <row r="38" customFormat="false" ht="15" hidden="false" customHeight="false" outlineLevel="0" collapsed="false">
      <c r="A38" s="25"/>
      <c r="B38" s="12" t="s">
        <v>247</v>
      </c>
      <c r="C38" s="8" t="s">
        <v>248</v>
      </c>
    </row>
    <row r="39" customFormat="false" ht="15" hidden="false" customHeight="true" outlineLevel="0" collapsed="false">
      <c r="A39" s="25" t="s">
        <v>123</v>
      </c>
      <c r="B39" s="12" t="s">
        <v>249</v>
      </c>
      <c r="C39" s="8" t="s">
        <v>250</v>
      </c>
    </row>
    <row r="40" customFormat="false" ht="15" hidden="false" customHeight="false" outlineLevel="0" collapsed="false">
      <c r="A40" s="25"/>
      <c r="B40" s="12" t="s">
        <v>251</v>
      </c>
      <c r="C40" s="8" t="s">
        <v>252</v>
      </c>
    </row>
    <row r="42" customFormat="false" ht="15" hidden="false" customHeight="false" outlineLevel="0" collapsed="false">
      <c r="A42" s="18" t="s">
        <v>153</v>
      </c>
      <c r="B42" s="20" t="n">
        <f aca="false">COUNTA(B4:B40)</f>
        <v>37</v>
      </c>
    </row>
  </sheetData>
  <mergeCells count="5">
    <mergeCell ref="A4:A15"/>
    <mergeCell ref="A16:A25"/>
    <mergeCell ref="A26:A32"/>
    <mergeCell ref="A33:A38"/>
    <mergeCell ref="A39:A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8"/>
    <col collapsed="false" customWidth="true" hidden="false" outlineLevel="0" max="10" min="10" style="0" width="40"/>
    <col collapsed="false" customWidth="true" hidden="false" outlineLevel="0" max="11" min="11" style="0" width="34"/>
    <col collapsed="false" customWidth="true" hidden="false" outlineLevel="0" max="12" min="12" style="0" width="18"/>
    <col collapsed="false" customWidth="true" hidden="false" outlineLevel="0" max="19" min="13" style="0" width="6"/>
    <col collapsed="false" customWidth="true" hidden="false" outlineLevel="0" max="20" min="20" style="0" width="10"/>
    <col collapsed="false" customWidth="true" hidden="false" outlineLevel="0" max="21" min="21" style="0" width="18"/>
    <col collapsed="false" customWidth="true" hidden="false" outlineLevel="0" max="22" min="22" style="0" width="78"/>
  </cols>
  <sheetData>
    <row r="1" customFormat="false" ht="33.75" hidden="false" customHeight="tru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</row>
    <row r="2" customFormat="false" ht="61.5" hidden="false" customHeight="true" outlineLevel="0" collapsed="false">
      <c r="A2" s="26" t="s">
        <v>92</v>
      </c>
      <c r="B2" s="26" t="s">
        <v>253</v>
      </c>
      <c r="C2" s="26" t="s">
        <v>254</v>
      </c>
      <c r="D2" s="26" t="s">
        <v>255</v>
      </c>
      <c r="E2" s="27" t="n">
        <v>84</v>
      </c>
      <c r="F2" s="28" t="n">
        <v>11200000</v>
      </c>
      <c r="G2" s="26" t="s">
        <v>55</v>
      </c>
      <c r="H2" s="26" t="s">
        <v>256</v>
      </c>
      <c r="I2" s="26" t="s">
        <v>257</v>
      </c>
      <c r="J2" s="26" t="s">
        <v>258</v>
      </c>
      <c r="K2" s="26" t="s">
        <v>259</v>
      </c>
      <c r="L2" s="26" t="s">
        <v>260</v>
      </c>
      <c r="M2" s="10" t="n">
        <v>4</v>
      </c>
      <c r="N2" s="10" t="n">
        <v>2</v>
      </c>
      <c r="O2" s="10" t="n">
        <v>4</v>
      </c>
      <c r="P2" s="10" t="n">
        <v>4</v>
      </c>
      <c r="Q2" s="10" t="n">
        <v>5</v>
      </c>
      <c r="R2" s="10" t="n">
        <v>4</v>
      </c>
      <c r="S2" s="10" t="n">
        <v>2</v>
      </c>
      <c r="T2" s="11" t="n">
        <f aca="false">IF(COUNT(M2:S2)&lt;7,"",SUMPRODUCT(M2:S2,'Grille Mali'!$C$14:$I$14))</f>
        <v>3.65</v>
      </c>
      <c r="U2" s="12" t="str">
        <f aca="false">IF(NOT(ISNUMBER(T2)),"",IF(T2&gt;=4,"A — Prioritaire",IF(T2&gt;=3,"B — À étudier",IF(T2&gt;=2,"C — Marginal","D — Non pertinent"))))</f>
        <v>B — À étudier</v>
      </c>
      <c r="V2" s="26" t="s">
        <v>261</v>
      </c>
    </row>
    <row r="3" customFormat="false" ht="15" hidden="false" customHeight="false" outlineLevel="0" collapsed="false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0"/>
      <c r="N3" s="10"/>
      <c r="O3" s="10"/>
      <c r="P3" s="10"/>
      <c r="Q3" s="10"/>
      <c r="R3" s="10"/>
      <c r="S3" s="10"/>
      <c r="T3" s="11" t="str">
        <f aca="false">IF(COUNT(M3:S3)&lt;7,"",SUMPRODUCT(M3:S3,'Grille Mali'!$C$14:$I$14))</f>
        <v/>
      </c>
      <c r="U3" s="12" t="str">
        <f aca="false">IF(NOT(ISNUMBER(T3)),"",IF(T3&gt;=4,"A — Prioritaire",IF(T3&gt;=3,"B — À étudier",IF(T3&gt;=2,"C — Marginal","D — Non pertinent"))))</f>
        <v/>
      </c>
      <c r="V3" s="29"/>
    </row>
    <row r="4" customFormat="false" ht="1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10"/>
      <c r="N4" s="10"/>
      <c r="O4" s="10"/>
      <c r="P4" s="10"/>
      <c r="Q4" s="10"/>
      <c r="R4" s="10"/>
      <c r="S4" s="10"/>
      <c r="T4" s="11" t="str">
        <f aca="false">IF(COUNT(M4:S4)&lt;7,"",SUMPRODUCT(M4:S4,'Grille Mali'!$C$14:$I$14))</f>
        <v/>
      </c>
      <c r="U4" s="12" t="str">
        <f aca="false">IF(NOT(ISNUMBER(T4)),"",IF(T4&gt;=4,"A — Prioritaire",IF(T4&gt;=3,"B — À étudier",IF(T4&gt;=2,"C — Marginal","D — Non pertinent"))))</f>
        <v/>
      </c>
      <c r="V4" s="29"/>
    </row>
    <row r="5" customFormat="false" ht="15" hidden="false" customHeight="fals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10"/>
      <c r="N5" s="10"/>
      <c r="O5" s="10"/>
      <c r="P5" s="10"/>
      <c r="Q5" s="10"/>
      <c r="R5" s="10"/>
      <c r="S5" s="10"/>
      <c r="T5" s="11" t="str">
        <f aca="false">IF(COUNT(M5:S5)&lt;7,"",SUMPRODUCT(M5:S5,'Grille Mali'!$C$14:$I$14))</f>
        <v/>
      </c>
      <c r="U5" s="12" t="str">
        <f aca="false">IF(NOT(ISNUMBER(T5)),"",IF(T5&gt;=4,"A — Prioritaire",IF(T5&gt;=3,"B — À étudier",IF(T5&gt;=2,"C — Marginal","D — Non pertinent"))))</f>
        <v/>
      </c>
      <c r="V5" s="29"/>
    </row>
    <row r="6" customFormat="false" ht="15" hidden="false" customHeight="fals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10"/>
      <c r="N6" s="10"/>
      <c r="O6" s="10"/>
      <c r="P6" s="10"/>
      <c r="Q6" s="10"/>
      <c r="R6" s="10"/>
      <c r="S6" s="10"/>
      <c r="T6" s="11" t="str">
        <f aca="false">IF(COUNT(M6:S6)&lt;7,"",SUMPRODUCT(M6:S6,'Grille Mali'!$C$14:$I$14))</f>
        <v/>
      </c>
      <c r="U6" s="12" t="str">
        <f aca="false">IF(NOT(ISNUMBER(T6)),"",IF(T6&gt;=4,"A — Prioritaire",IF(T6&gt;=3,"B — À étudier",IF(T6&gt;=2,"C — Marginal","D — Non pertinent"))))</f>
        <v/>
      </c>
      <c r="V6" s="29"/>
    </row>
    <row r="7" customFormat="false" ht="15" hidden="false" customHeight="false" outlineLevel="0" collapsed="false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10"/>
      <c r="N7" s="10"/>
      <c r="O7" s="10"/>
      <c r="P7" s="10"/>
      <c r="Q7" s="10"/>
      <c r="R7" s="10"/>
      <c r="S7" s="10"/>
      <c r="T7" s="11" t="str">
        <f aca="false">IF(COUNT(M7:S7)&lt;7,"",SUMPRODUCT(M7:S7,'Grille Mali'!$C$14:$I$14))</f>
        <v/>
      </c>
      <c r="U7" s="12" t="str">
        <f aca="false">IF(NOT(ISNUMBER(T7)),"",IF(T7&gt;=4,"A — Prioritaire",IF(T7&gt;=3,"B — À étudier",IF(T7&gt;=2,"C — Marginal","D — Non pertinent"))))</f>
        <v/>
      </c>
      <c r="V7" s="29"/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10"/>
      <c r="N8" s="10"/>
      <c r="O8" s="10"/>
      <c r="P8" s="10"/>
      <c r="Q8" s="10"/>
      <c r="R8" s="10"/>
      <c r="S8" s="10"/>
      <c r="T8" s="11" t="str">
        <f aca="false">IF(COUNT(M8:S8)&lt;7,"",SUMPRODUCT(M8:S8,'Grille Mali'!$C$14:$I$14))</f>
        <v/>
      </c>
      <c r="U8" s="12" t="str">
        <f aca="false">IF(NOT(ISNUMBER(T8)),"",IF(T8&gt;=4,"A — Prioritaire",IF(T8&gt;=3,"B — À étudier",IF(T8&gt;=2,"C — Marginal","D — Non pertinent"))))</f>
        <v/>
      </c>
      <c r="V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10"/>
      <c r="N9" s="10"/>
      <c r="O9" s="10"/>
      <c r="P9" s="10"/>
      <c r="Q9" s="10"/>
      <c r="R9" s="10"/>
      <c r="S9" s="10"/>
      <c r="T9" s="11" t="str">
        <f aca="false">IF(COUNT(M9:S9)&lt;7,"",SUMPRODUCT(M9:S9,'Grille Mali'!$C$14:$I$14))</f>
        <v/>
      </c>
      <c r="U9" s="12" t="str">
        <f aca="false">IF(NOT(ISNUMBER(T9)),"",IF(T9&gt;=4,"A — Prioritaire",IF(T9&gt;=3,"B — À étudier",IF(T9&gt;=2,"C — Marginal","D — Non pertinent"))))</f>
        <v/>
      </c>
      <c r="V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10"/>
      <c r="N10" s="10"/>
      <c r="O10" s="10"/>
      <c r="P10" s="10"/>
      <c r="Q10" s="10"/>
      <c r="R10" s="10"/>
      <c r="S10" s="10"/>
      <c r="T10" s="11" t="str">
        <f aca="false">IF(COUNT(M10:S10)&lt;7,"",SUMPRODUCT(M10:S10,'Grille Mali'!$C$14:$I$14))</f>
        <v/>
      </c>
      <c r="U10" s="12" t="str">
        <f aca="false">IF(NOT(ISNUMBER(T10)),"",IF(T10&gt;=4,"A — Prioritaire",IF(T10&gt;=3,"B — À étudier",IF(T10&gt;=2,"C — Marginal","D — Non pertinent"))))</f>
        <v/>
      </c>
      <c r="V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10"/>
      <c r="N11" s="10"/>
      <c r="O11" s="10"/>
      <c r="P11" s="10"/>
      <c r="Q11" s="10"/>
      <c r="R11" s="10"/>
      <c r="S11" s="10"/>
      <c r="T11" s="11" t="str">
        <f aca="false">IF(COUNT(M11:S11)&lt;7,"",SUMPRODUCT(M11:S11,'Grille Mali'!$C$14:$I$14))</f>
        <v/>
      </c>
      <c r="U11" s="12" t="str">
        <f aca="false">IF(NOT(ISNUMBER(T11)),"",IF(T11&gt;=4,"A — Prioritaire",IF(T11&gt;=3,"B — À étudier",IF(T11&gt;=2,"C — Marginal","D — Non pertinent"))))</f>
        <v/>
      </c>
      <c r="V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10"/>
      <c r="N12" s="10"/>
      <c r="O12" s="10"/>
      <c r="P12" s="10"/>
      <c r="Q12" s="10"/>
      <c r="R12" s="10"/>
      <c r="S12" s="10"/>
      <c r="T12" s="11" t="str">
        <f aca="false">IF(COUNT(M12:S12)&lt;7,"",SUMPRODUCT(M12:S12,'Grille Mali'!$C$14:$I$14))</f>
        <v/>
      </c>
      <c r="U12" s="12" t="str">
        <f aca="false">IF(NOT(ISNUMBER(T12)),"",IF(T12&gt;=4,"A — Prioritaire",IF(T12&gt;=3,"B — À étudier",IF(T12&gt;=2,"C — Marginal","D — Non pertinent"))))</f>
        <v/>
      </c>
      <c r="V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10"/>
      <c r="N13" s="10"/>
      <c r="O13" s="10"/>
      <c r="P13" s="10"/>
      <c r="Q13" s="10"/>
      <c r="R13" s="10"/>
      <c r="S13" s="10"/>
      <c r="T13" s="11" t="str">
        <f aca="false">IF(COUNT(M13:S13)&lt;7,"",SUMPRODUCT(M13:S13,'Grille Mali'!$C$14:$I$14))</f>
        <v/>
      </c>
      <c r="U13" s="12" t="str">
        <f aca="false">IF(NOT(ISNUMBER(T13)),"",IF(T13&gt;=4,"A — Prioritaire",IF(T13&gt;=3,"B — À étudier",IF(T13&gt;=2,"C — Marginal","D — Non pertinent"))))</f>
        <v/>
      </c>
      <c r="V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10"/>
      <c r="N14" s="10"/>
      <c r="O14" s="10"/>
      <c r="P14" s="10"/>
      <c r="Q14" s="10"/>
      <c r="R14" s="10"/>
      <c r="S14" s="10"/>
      <c r="T14" s="11" t="str">
        <f aca="false">IF(COUNT(M14:S14)&lt;7,"",SUMPRODUCT(M14:S14,'Grille Mali'!$C$14:$I$14))</f>
        <v/>
      </c>
      <c r="U14" s="12" t="str">
        <f aca="false">IF(NOT(ISNUMBER(T14)),"",IF(T14&gt;=4,"A — Prioritaire",IF(T14&gt;=3,"B — À étudier",IF(T14&gt;=2,"C — Marginal","D — Non pertinent"))))</f>
        <v/>
      </c>
      <c r="V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10"/>
      <c r="N15" s="10"/>
      <c r="O15" s="10"/>
      <c r="P15" s="10"/>
      <c r="Q15" s="10"/>
      <c r="R15" s="10"/>
      <c r="S15" s="10"/>
      <c r="T15" s="11" t="str">
        <f aca="false">IF(COUNT(M15:S15)&lt;7,"",SUMPRODUCT(M15:S15,'Grille Mali'!$C$14:$I$14))</f>
        <v/>
      </c>
      <c r="U15" s="12" t="str">
        <f aca="false">IF(NOT(ISNUMBER(T15)),"",IF(T15&gt;=4,"A — Prioritaire",IF(T15&gt;=3,"B — À étudier",IF(T15&gt;=2,"C — Marginal","D — Non pertinent"))))</f>
        <v/>
      </c>
      <c r="V15" s="29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10"/>
      <c r="N16" s="10"/>
      <c r="O16" s="10"/>
      <c r="P16" s="10"/>
      <c r="Q16" s="10"/>
      <c r="R16" s="10"/>
      <c r="S16" s="10"/>
      <c r="T16" s="11" t="str">
        <f aca="false">IF(COUNT(M16:S16)&lt;7,"",SUMPRODUCT(M16:S16,'Grille Mali'!$C$14:$I$14))</f>
        <v/>
      </c>
      <c r="U16" s="12" t="str">
        <f aca="false">IF(NOT(ISNUMBER(T16)),"",IF(T16&gt;=4,"A — Prioritaire",IF(T16&gt;=3,"B — À étudier",IF(T16&gt;=2,"C — Marginal","D — Non pertinent"))))</f>
        <v/>
      </c>
      <c r="V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10"/>
      <c r="N17" s="10"/>
      <c r="O17" s="10"/>
      <c r="P17" s="10"/>
      <c r="Q17" s="10"/>
      <c r="R17" s="10"/>
      <c r="S17" s="10"/>
      <c r="T17" s="11" t="str">
        <f aca="false">IF(COUNT(M17:S17)&lt;7,"",SUMPRODUCT(M17:S17,'Grille Mali'!$C$14:$I$14))</f>
        <v/>
      </c>
      <c r="U17" s="12" t="str">
        <f aca="false">IF(NOT(ISNUMBER(T17)),"",IF(T17&gt;=4,"A — Prioritaire",IF(T17&gt;=3,"B — À étudier",IF(T17&gt;=2,"C — Marginal","D — Non pertinent"))))</f>
        <v/>
      </c>
      <c r="V17" s="29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0"/>
      <c r="N18" s="10"/>
      <c r="O18" s="10"/>
      <c r="P18" s="10"/>
      <c r="Q18" s="10"/>
      <c r="R18" s="10"/>
      <c r="S18" s="10"/>
      <c r="T18" s="11" t="str">
        <f aca="false">IF(COUNT(M18:S18)&lt;7,"",SUMPRODUCT(M18:S18,'Grille Mali'!$C$14:$I$14))</f>
        <v/>
      </c>
      <c r="U18" s="12" t="str">
        <f aca="false">IF(NOT(ISNUMBER(T18)),"",IF(T18&gt;=4,"A — Prioritaire",IF(T18&gt;=3,"B — À étudier",IF(T18&gt;=2,"C — Marginal","D — Non pertinent"))))</f>
        <v/>
      </c>
      <c r="V18" s="29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10"/>
      <c r="N19" s="10"/>
      <c r="O19" s="10"/>
      <c r="P19" s="10"/>
      <c r="Q19" s="10"/>
      <c r="R19" s="10"/>
      <c r="S19" s="10"/>
      <c r="T19" s="11" t="str">
        <f aca="false">IF(COUNT(M19:S19)&lt;7,"",SUMPRODUCT(M19:S19,'Grille Mali'!$C$14:$I$14))</f>
        <v/>
      </c>
      <c r="U19" s="12" t="str">
        <f aca="false">IF(NOT(ISNUMBER(T19)),"",IF(T19&gt;=4,"A — Prioritaire",IF(T19&gt;=3,"B — À étudier",IF(T19&gt;=2,"C — Marginal","D — Non pertinent"))))</f>
        <v/>
      </c>
      <c r="V19" s="29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10"/>
      <c r="N20" s="10"/>
      <c r="O20" s="10"/>
      <c r="P20" s="10"/>
      <c r="Q20" s="10"/>
      <c r="R20" s="10"/>
      <c r="S20" s="10"/>
      <c r="T20" s="11" t="str">
        <f aca="false">IF(COUNT(M20:S20)&lt;7,"",SUMPRODUCT(M20:S20,'Grille Mali'!$C$14:$I$14))</f>
        <v/>
      </c>
      <c r="U20" s="12" t="str">
        <f aca="false">IF(NOT(ISNUMBER(T20)),"",IF(T20&gt;=4,"A — Prioritaire",IF(T20&gt;=3,"B — À étudier",IF(T20&gt;=2,"C — Marginal","D — Non pertinent"))))</f>
        <v/>
      </c>
      <c r="V20" s="29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10"/>
      <c r="N21" s="10"/>
      <c r="O21" s="10"/>
      <c r="P21" s="10"/>
      <c r="Q21" s="10"/>
      <c r="R21" s="10"/>
      <c r="S21" s="10"/>
      <c r="T21" s="11" t="str">
        <f aca="false">IF(COUNT(M21:S21)&lt;7,"",SUMPRODUCT(M21:S21,'Grille Mali'!$C$14:$I$14))</f>
        <v/>
      </c>
      <c r="U21" s="12" t="str">
        <f aca="false">IF(NOT(ISNUMBER(T21)),"",IF(T21&gt;=4,"A — Prioritaire",IF(T21&gt;=3,"B — À étudier",IF(T21&gt;=2,"C — Marginal","D — Non pertinent"))))</f>
        <v/>
      </c>
      <c r="V21" s="29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10"/>
      <c r="N22" s="10"/>
      <c r="O22" s="10"/>
      <c r="P22" s="10"/>
      <c r="Q22" s="10"/>
      <c r="R22" s="10"/>
      <c r="S22" s="10"/>
      <c r="T22" s="11" t="str">
        <f aca="false">IF(COUNT(M22:S22)&lt;7,"",SUMPRODUCT(M22:S22,'Grille Mali'!$C$14:$I$14))</f>
        <v/>
      </c>
      <c r="U22" s="12" t="str">
        <f aca="false">IF(NOT(ISNUMBER(T22)),"",IF(T22&gt;=4,"A — Prioritaire",IF(T22&gt;=3,"B — À étudier",IF(T22&gt;=2,"C — Marginal","D — Non pertinent"))))</f>
        <v/>
      </c>
      <c r="V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10"/>
      <c r="N23" s="10"/>
      <c r="O23" s="10"/>
      <c r="P23" s="10"/>
      <c r="Q23" s="10"/>
      <c r="R23" s="10"/>
      <c r="S23" s="10"/>
      <c r="T23" s="11" t="str">
        <f aca="false">IF(COUNT(M23:S23)&lt;7,"",SUMPRODUCT(M23:S23,'Grille Mali'!$C$14:$I$14))</f>
        <v/>
      </c>
      <c r="U23" s="12" t="str">
        <f aca="false">IF(NOT(ISNUMBER(T23)),"",IF(T23&gt;=4,"A — Prioritaire",IF(T23&gt;=3,"B — À étudier",IF(T23&gt;=2,"C — Marginal","D — Non pertinent"))))</f>
        <v/>
      </c>
      <c r="V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10"/>
      <c r="N24" s="10"/>
      <c r="O24" s="10"/>
      <c r="P24" s="10"/>
      <c r="Q24" s="10"/>
      <c r="R24" s="10"/>
      <c r="S24" s="10"/>
      <c r="T24" s="11" t="str">
        <f aca="false">IF(COUNT(M24:S24)&lt;7,"",SUMPRODUCT(M24:S24,'Grille Mali'!$C$14:$I$14))</f>
        <v/>
      </c>
      <c r="U24" s="12" t="str">
        <f aca="false">IF(NOT(ISNUMBER(T24)),"",IF(T24&gt;=4,"A — Prioritaire",IF(T24&gt;=3,"B — À étudier",IF(T24&gt;=2,"C — Marginal","D — Non pertinent"))))</f>
        <v/>
      </c>
      <c r="V24" s="29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10"/>
      <c r="N25" s="10"/>
      <c r="O25" s="10"/>
      <c r="P25" s="10"/>
      <c r="Q25" s="10"/>
      <c r="R25" s="10"/>
      <c r="S25" s="10"/>
      <c r="T25" s="11" t="str">
        <f aca="false">IF(COUNT(M25:S25)&lt;7,"",SUMPRODUCT(M25:S25,'Grille Mali'!$C$14:$I$14))</f>
        <v/>
      </c>
      <c r="U25" s="12" t="str">
        <f aca="false">IF(NOT(ISNUMBER(T25)),"",IF(T25&gt;=4,"A — Prioritaire",IF(T25&gt;=3,"B — À étudier",IF(T25&gt;=2,"C — Marginal","D — Non pertinent"))))</f>
        <v/>
      </c>
      <c r="V25" s="29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10"/>
      <c r="N26" s="10"/>
      <c r="O26" s="10"/>
      <c r="P26" s="10"/>
      <c r="Q26" s="10"/>
      <c r="R26" s="10"/>
      <c r="S26" s="10"/>
      <c r="T26" s="11" t="str">
        <f aca="false">IF(COUNT(M26:S26)&lt;7,"",SUMPRODUCT(M26:S26,'Grille Mali'!$C$14:$I$14))</f>
        <v/>
      </c>
      <c r="U26" s="12" t="str">
        <f aca="false">IF(NOT(ISNUMBER(T26)),"",IF(T26&gt;=4,"A — Prioritaire",IF(T26&gt;=3,"B — À étudier",IF(T26&gt;=2,"C — Marginal","D — Non pertinent"))))</f>
        <v/>
      </c>
      <c r="V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10"/>
      <c r="N27" s="10"/>
      <c r="O27" s="10"/>
      <c r="P27" s="10"/>
      <c r="Q27" s="10"/>
      <c r="R27" s="10"/>
      <c r="S27" s="10"/>
      <c r="T27" s="11" t="str">
        <f aca="false">IF(COUNT(M27:S27)&lt;7,"",SUMPRODUCT(M27:S27,'Grille Mali'!$C$14:$I$14))</f>
        <v/>
      </c>
      <c r="U27" s="12" t="str">
        <f aca="false">IF(NOT(ISNUMBER(T27)),"",IF(T27&gt;=4,"A — Prioritaire",IF(T27&gt;=3,"B — À étudier",IF(T27&gt;=2,"C — Marginal","D — Non pertinent"))))</f>
        <v/>
      </c>
      <c r="V27" s="29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0"/>
      <c r="N28" s="10"/>
      <c r="O28" s="10"/>
      <c r="P28" s="10"/>
      <c r="Q28" s="10"/>
      <c r="R28" s="10"/>
      <c r="S28" s="10"/>
      <c r="T28" s="11" t="str">
        <f aca="false">IF(COUNT(M28:S28)&lt;7,"",SUMPRODUCT(M28:S28,'Grille Mali'!$C$14:$I$14))</f>
        <v/>
      </c>
      <c r="U28" s="12" t="str">
        <f aca="false">IF(NOT(ISNUMBER(T28)),"",IF(T28&gt;=4,"A — Prioritaire",IF(T28&gt;=3,"B — À étudier",IF(T28&gt;=2,"C — Marginal","D — Non pertinent"))))</f>
        <v/>
      </c>
      <c r="V28" s="29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10"/>
      <c r="N29" s="10"/>
      <c r="O29" s="10"/>
      <c r="P29" s="10"/>
      <c r="Q29" s="10"/>
      <c r="R29" s="10"/>
      <c r="S29" s="10"/>
      <c r="T29" s="11" t="str">
        <f aca="false">IF(COUNT(M29:S29)&lt;7,"",SUMPRODUCT(M29:S29,'Grille Mali'!$C$14:$I$14))</f>
        <v/>
      </c>
      <c r="U29" s="12" t="str">
        <f aca="false">IF(NOT(ISNUMBER(T29)),"",IF(T29&gt;=4,"A — Prioritaire",IF(T29&gt;=3,"B — À étudier",IF(T29&gt;=2,"C — Marginal","D — Non pertinent"))))</f>
        <v/>
      </c>
      <c r="V29" s="29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10"/>
      <c r="N30" s="10"/>
      <c r="O30" s="10"/>
      <c r="P30" s="10"/>
      <c r="Q30" s="10"/>
      <c r="R30" s="10"/>
      <c r="S30" s="10"/>
      <c r="T30" s="11" t="str">
        <f aca="false">IF(COUNT(M30:S30)&lt;7,"",SUMPRODUCT(M30:S30,'Grille Mali'!$C$14:$I$14))</f>
        <v/>
      </c>
      <c r="U30" s="12" t="str">
        <f aca="false">IF(NOT(ISNUMBER(T30)),"",IF(T30&gt;=4,"A — Prioritaire",IF(T30&gt;=3,"B — À étudier",IF(T30&gt;=2,"C — Marginal","D — Non pertinent"))))</f>
        <v/>
      </c>
      <c r="V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10"/>
      <c r="N31" s="10"/>
      <c r="O31" s="10"/>
      <c r="P31" s="10"/>
      <c r="Q31" s="10"/>
      <c r="R31" s="10"/>
      <c r="S31" s="10"/>
      <c r="T31" s="11" t="str">
        <f aca="false">IF(COUNT(M31:S31)&lt;7,"",SUMPRODUCT(M31:S31,'Grille Mali'!$C$14:$I$14))</f>
        <v/>
      </c>
      <c r="U31" s="12" t="str">
        <f aca="false">IF(NOT(ISNUMBER(T31)),"",IF(T31&gt;=4,"A — Prioritaire",IF(T31&gt;=3,"B — À étudier",IF(T31&gt;=2,"C — Marginal","D — Non pertinent"))))</f>
        <v/>
      </c>
      <c r="V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10"/>
      <c r="N32" s="10"/>
      <c r="O32" s="10"/>
      <c r="P32" s="10"/>
      <c r="Q32" s="10"/>
      <c r="R32" s="10"/>
      <c r="S32" s="10"/>
      <c r="T32" s="11" t="str">
        <f aca="false">IF(COUNT(M32:S32)&lt;7,"",SUMPRODUCT(M32:S32,'Grille Mali'!$C$14:$I$14))</f>
        <v/>
      </c>
      <c r="U32" s="12" t="str">
        <f aca="false">IF(NOT(ISNUMBER(T32)),"",IF(T32&gt;=4,"A — Prioritaire",IF(T32&gt;=3,"B — À étudier",IF(T32&gt;=2,"C — Marginal","D — Non pertinent"))))</f>
        <v/>
      </c>
      <c r="V32" s="29"/>
    </row>
    <row r="35" customFormat="false" ht="43.5" hidden="false" customHeight="true" outlineLevel="0" collapsed="false">
      <c r="A35" s="30" t="s">
        <v>262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</sheetData>
  <mergeCells count="1">
    <mergeCell ref="A35:V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2026-08-30T20:51:42Z</dcterms:created>
  <dc:creator>openpyxl</dc:creator>
  <dc:description/>
  <dc:language>en-US</dc:language>
  <cp:lastModifiedBy/>
  <dcterms:modified xsi:type="dcterms:W3CDTF">2026-08-30T20:51:42Z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